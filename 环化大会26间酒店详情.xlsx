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环化大会26间酒店名单" sheetId="12" r:id="rId1"/>
    <sheet name="贵宾酒店" sheetId="6" r:id="rId2"/>
    <sheet name="第一批上线" sheetId="1" r:id="rId3"/>
    <sheet name="第二批上线" sheetId="7" r:id="rId4"/>
    <sheet name="组委会预留名单" sheetId="8" r:id="rId5"/>
    <sheet name="外籍专家预留" sheetId="10" r:id="rId6"/>
    <sheet name="特殊事项备注" sheetId="14" r:id="rId7"/>
    <sheet name="WpsReserved_CellImgList" sheetId="15" state="veryHidden" r:id="rId8"/>
  </sheets>
  <definedNames>
    <definedName name="_xlnm._FilterDatabase" localSheetId="4" hidden="1">组委会预留名单!$A$1:$M$365</definedName>
    <definedName name="_xlnm._FilterDatabase" localSheetId="5" hidden="1">外籍专家预留!$A$3:$P$24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6507F065DEA4E858E4DC8F8E87C7C63" descr="post_object_image_3292980083"/>
        <xdr:cNvPicPr/>
      </xdr:nvPicPr>
      <xdr:blipFill>
        <a:blip r:embed="rId1"/>
        <a:stretch>
          <a:fillRect/>
        </a:stretch>
      </xdr:blipFill>
      <xdr:spPr>
        <a:xfrm>
          <a:off x="0" y="0"/>
          <a:ext cx="4810125" cy="3724275"/>
        </a:xfrm>
        <a:prstGeom prst="rect">
          <a:avLst/>
        </a:prstGeom>
      </xdr:spPr>
    </xdr:pic>
  </etc:cellImage>
  <etc:cellImage>
    <xdr:pic>
      <xdr:nvPicPr>
        <xdr:cNvPr id="4" name="ID_1D1D1CFD776343ACAA1454DE8116F2F3" descr="post_object_image_3052258027"/>
        <xdr:cNvPicPr/>
      </xdr:nvPicPr>
      <xdr:blipFill>
        <a:blip r:embed="rId2"/>
        <a:stretch>
          <a:fillRect/>
        </a:stretch>
      </xdr:blipFill>
      <xdr:spPr>
        <a:xfrm>
          <a:off x="0" y="0"/>
          <a:ext cx="7858125" cy="3876675"/>
        </a:xfrm>
        <a:prstGeom prst="rect">
          <a:avLst/>
        </a:prstGeom>
      </xdr:spPr>
    </xdr:pic>
  </etc:cellImage>
  <etc:cellImage>
    <xdr:pic>
      <xdr:nvPicPr>
        <xdr:cNvPr id="3" name="ID_8318A49599604442A361CFF80441F9A9" descr="post_object_image_3409079759"/>
        <xdr:cNvPicPr/>
      </xdr:nvPicPr>
      <xdr:blipFill>
        <a:blip r:embed="rId3"/>
        <a:stretch>
          <a:fillRect/>
        </a:stretch>
      </xdr:blipFill>
      <xdr:spPr>
        <a:xfrm>
          <a:off x="0" y="0"/>
          <a:ext cx="6076950" cy="1428750"/>
        </a:xfrm>
        <a:prstGeom prst="rect">
          <a:avLst/>
        </a:prstGeom>
      </xdr:spPr>
    </xdr:pic>
  </etc:cellImage>
  <etc:cellImage>
    <xdr:pic>
      <xdr:nvPicPr>
        <xdr:cNvPr id="5" name="ID_D27DDDC814D54421A08C71255BB15535" descr="post_object_image_2530754563"/>
        <xdr:cNvPicPr/>
      </xdr:nvPicPr>
      <xdr:blipFill>
        <a:blip r:embed="rId4"/>
        <a:stretch>
          <a:fillRect/>
        </a:stretch>
      </xdr:blipFill>
      <xdr:spPr>
        <a:xfrm>
          <a:off x="0" y="0"/>
          <a:ext cx="5300980" cy="47720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<sst xmlns="http://schemas.openxmlformats.org/spreadsheetml/2006/main" count="1841" uniqueCount="858">
  <si>
    <t>环化大会26间酒店名单(截止11月22日20:00)</t>
  </si>
  <si>
    <t>序号</t>
  </si>
  <si>
    <t>酒店名称</t>
  </si>
  <si>
    <t>酒店总房间数/间</t>
  </si>
  <si>
    <t>协议房间数/间</t>
  </si>
  <si>
    <t>已定房间数</t>
  </si>
  <si>
    <t>剩余房间数</t>
  </si>
  <si>
    <t>人数估计</t>
  </si>
  <si>
    <t>江门保利皇冠假日酒店</t>
  </si>
  <si>
    <t>江门名冠金凯悦酒店</t>
  </si>
  <si>
    <t>江门富力万达嘉华酒店</t>
  </si>
  <si>
    <t>江门丽宫国际酒店</t>
  </si>
  <si>
    <t>售罄</t>
  </si>
  <si>
    <t>江门新会龙泉度假酒店</t>
  </si>
  <si>
    <t>江门新会碧桂园凤凰酒店</t>
  </si>
  <si>
    <t>江门华保体育会展酒店（广东珠西国际会展中心店）</t>
  </si>
  <si>
    <t>江门银晶国际酒店</t>
  </si>
  <si>
    <t>江门蓬江华茵广场亚朵酒店</t>
  </si>
  <si>
    <t>铂顿国际公寓江门蓬江行政服务中心店</t>
  </si>
  <si>
    <t>维也纳酒店(江门万达广场店)</t>
  </si>
  <si>
    <t>维也纳酒店(江门常安路步行街店)</t>
  </si>
  <si>
    <t>江海碧桂园凤凰酒店（江门东站万达广场店）</t>
  </si>
  <si>
    <t>江门江海智选假日酒店(江海广场店)</t>
  </si>
  <si>
    <t>江门东站嘉华广场智选假日酒店</t>
  </si>
  <si>
    <t>全季酒店（江门东站江海万达广场店）</t>
  </si>
  <si>
    <t>绿岛假日酒店（江门万达广场华侨广场店）</t>
  </si>
  <si>
    <t>江门合意酒店</t>
  </si>
  <si>
    <t>江门珺璟麦客达温德姆酒店</t>
  </si>
  <si>
    <t>希岸Deluxe酒店(江门外海大桥店)</t>
  </si>
  <si>
    <t>江门奥普斯酒店（江门东站店）</t>
  </si>
  <si>
    <t>柏丽泉智酒店（江门东站江海广场店）</t>
  </si>
  <si>
    <t>江门三木里酒店（江海站白水带公园店）</t>
  </si>
  <si>
    <t>曼陀伦Plus智能酒店(江门和兴广场五邑华侨广场店)</t>
  </si>
  <si>
    <t>曼陀伦智能酒店(江门职业技术学院店)</t>
  </si>
  <si>
    <t>丽枫酒店（迎宾大道店）</t>
  </si>
  <si>
    <t>古镇利和威斯汀酒店</t>
  </si>
  <si>
    <t>古镇利和希尔顿花园</t>
  </si>
  <si>
    <t>圭峰大酒店</t>
  </si>
  <si>
    <t>凯里亚德酒店</t>
  </si>
  <si>
    <t>总计</t>
  </si>
  <si>
    <t>贵宾类别</t>
  </si>
  <si>
    <t>房型</t>
  </si>
  <si>
    <t>数量（间）</t>
  </si>
  <si>
    <t>已售((截止11月4日23:59)</t>
  </si>
  <si>
    <t>预留(截止11月17日17:00)</t>
  </si>
  <si>
    <t>房价（元）</t>
  </si>
  <si>
    <t>备注</t>
  </si>
  <si>
    <t>VVIP</t>
  </si>
  <si>
    <t>江门保利皇冠假日酒店（园山湖店）</t>
  </si>
  <si>
    <t>皇冠套房</t>
  </si>
  <si>
    <t>不上线，VVIP专属套房</t>
  </si>
  <si>
    <t>豪华套房</t>
  </si>
  <si>
    <t>行政套房</t>
  </si>
  <si>
    <t>名冠金凯悦酒店</t>
  </si>
  <si>
    <t>豪华亲子套房</t>
  </si>
  <si>
    <t>商务套房</t>
  </si>
  <si>
    <t>A座套房</t>
  </si>
  <si>
    <t>总合计</t>
  </si>
  <si>
    <t>线上剩余房间数</t>
  </si>
  <si>
    <t>全部总房间数</t>
  </si>
  <si>
    <t>现在线上总房间数   （不含预留不上线房间数）</t>
  </si>
  <si>
    <t>减去预留房间数</t>
  </si>
  <si>
    <t>线上已售房间数</t>
  </si>
  <si>
    <t>预留房间数</t>
  </si>
  <si>
    <t>组委免住宿预留表格</t>
  </si>
  <si>
    <t>团房扫码预留表格</t>
  </si>
  <si>
    <t>外籍专家预留表格</t>
  </si>
  <si>
    <t>已售（截止11月21日18:00）</t>
  </si>
  <si>
    <t>(截止11月19日20：00)</t>
  </si>
  <si>
    <t>VIP</t>
  </si>
  <si>
    <t>高级大床房（单早）</t>
  </si>
  <si>
    <r>
      <rPr>
        <b/>
        <sz val="14"/>
        <color rgb="FF000000"/>
        <rFont val="宋体"/>
        <charset val="134"/>
      </rPr>
      <t xml:space="preserve">10月8日上线 
</t>
    </r>
    <r>
      <rPr>
        <b/>
        <sz val="14"/>
        <color rgb="FF041AEC"/>
        <rFont val="宋体"/>
        <charset val="134"/>
      </rPr>
      <t>105</t>
    </r>
    <r>
      <rPr>
        <b/>
        <sz val="14"/>
        <color rgb="FF000000"/>
        <rFont val="宋体"/>
        <charset val="134"/>
      </rPr>
      <t>间</t>
    </r>
  </si>
  <si>
    <t>高级双床房（双早）</t>
  </si>
  <si>
    <t>高级城景大床房（单早）</t>
  </si>
  <si>
    <t>郑焰房间在预留1间房间数中</t>
  </si>
  <si>
    <t>高级湖景双床房（双早）</t>
  </si>
  <si>
    <t>行政双床房</t>
  </si>
  <si>
    <t>高级城景双床房（双早）</t>
  </si>
  <si>
    <t>行政大床房</t>
  </si>
  <si>
    <t>高级湖景大床房（单早）</t>
  </si>
  <si>
    <t>合计</t>
  </si>
  <si>
    <t>豪华大床房（单早）</t>
  </si>
  <si>
    <r>
      <rPr>
        <b/>
        <sz val="14"/>
        <color rgb="FF000000"/>
        <rFont val="宋体"/>
        <charset val="134"/>
      </rPr>
      <t xml:space="preserve">10月8日上线
</t>
    </r>
    <r>
      <rPr>
        <b/>
        <sz val="14"/>
        <color rgb="FF041AEC"/>
        <rFont val="宋体"/>
        <charset val="134"/>
      </rPr>
      <t>138</t>
    </r>
    <r>
      <rPr>
        <b/>
        <sz val="14"/>
        <color rgb="FF000000"/>
        <rFont val="宋体"/>
        <charset val="134"/>
      </rPr>
      <t>间</t>
    </r>
  </si>
  <si>
    <t>42+8（线下预留）=50</t>
  </si>
  <si>
    <t>已扣减平台预定赵美训、万莹、张山青5间房间</t>
  </si>
  <si>
    <t>豪华双床房（双早）</t>
  </si>
  <si>
    <t>49+1（线下预留）=50</t>
  </si>
  <si>
    <t>19+1</t>
  </si>
  <si>
    <t>行政大床房（单早）</t>
  </si>
  <si>
    <t>预留72间</t>
  </si>
  <si>
    <t>行政双床房（双早）</t>
  </si>
  <si>
    <t>23（线下预留），为避免后续此房型上线预订时出现超房情况，线上改为27间，总房数23+27=50</t>
  </si>
  <si>
    <r>
      <rPr>
        <b/>
        <sz val="14"/>
        <color theme="1"/>
        <rFont val="宋体"/>
        <charset val="134"/>
        <scheme val="minor"/>
      </rPr>
      <t xml:space="preserve">10月8日上线
</t>
    </r>
    <r>
      <rPr>
        <b/>
        <sz val="14"/>
        <color rgb="FF041AEC"/>
        <rFont val="宋体"/>
        <charset val="134"/>
        <scheme val="minor"/>
      </rPr>
      <t>134</t>
    </r>
    <r>
      <rPr>
        <b/>
        <sz val="14"/>
        <color theme="1"/>
        <rFont val="宋体"/>
        <charset val="134"/>
        <scheme val="minor"/>
      </rPr>
      <t>间</t>
    </r>
  </si>
  <si>
    <t>54-3（线下预留）=51（系统显示总房数）</t>
  </si>
  <si>
    <t xml:space="preserve">	主题养生单人房（单早）</t>
  </si>
  <si>
    <t>44-1（线下预留）=43（系统显示总房数）</t>
  </si>
  <si>
    <t>臻享商务单人房（单早）</t>
  </si>
  <si>
    <t>15-2（线下预留）=13（系统显示总房数）</t>
  </si>
  <si>
    <t>行政单人房（单早）</t>
  </si>
  <si>
    <t>商务单人房（单早）</t>
  </si>
  <si>
    <t>A座高级大床房（单早）</t>
  </si>
  <si>
    <r>
      <rPr>
        <b/>
        <sz val="14"/>
        <color theme="1"/>
        <rFont val="宋体"/>
        <charset val="134"/>
        <scheme val="minor"/>
      </rPr>
      <t xml:space="preserve">10月8日上线
</t>
    </r>
    <r>
      <rPr>
        <b/>
        <sz val="14"/>
        <color theme="4"/>
        <rFont val="宋体"/>
        <charset val="134"/>
        <scheme val="minor"/>
      </rPr>
      <t>57</t>
    </r>
    <r>
      <rPr>
        <b/>
        <sz val="14"/>
        <color theme="1"/>
        <rFont val="宋体"/>
        <charset val="134"/>
        <scheme val="minor"/>
      </rPr>
      <t>间</t>
    </r>
  </si>
  <si>
    <t>A座高级双床房（双早）</t>
  </si>
  <si>
    <t>A座智能大床房（单早）</t>
  </si>
  <si>
    <t>A座豪华双床房（单早）</t>
  </si>
  <si>
    <t>至尊大床房（单早）</t>
  </si>
  <si>
    <t>至尊双床房（双早）</t>
  </si>
  <si>
    <r>
      <rPr>
        <sz val="14"/>
        <color theme="1"/>
        <rFont val="宋体"/>
        <charset val="134"/>
        <scheme val="minor"/>
      </rPr>
      <t>江门新会龙泉度假酒店</t>
    </r>
    <r>
      <rPr>
        <sz val="14"/>
        <color rgb="FFFF0000"/>
        <rFont val="宋体"/>
        <charset val="134"/>
        <scheme val="minor"/>
      </rPr>
      <t>（有温矿泉）</t>
    </r>
  </si>
  <si>
    <r>
      <rPr>
        <b/>
        <sz val="14"/>
        <color theme="1"/>
        <rFont val="宋体"/>
        <charset val="134"/>
        <scheme val="minor"/>
      </rPr>
      <t xml:space="preserve">10月8日上线
</t>
    </r>
    <r>
      <rPr>
        <b/>
        <sz val="14"/>
        <color rgb="FF041AEC"/>
        <rFont val="宋体"/>
        <charset val="134"/>
        <scheme val="minor"/>
      </rPr>
      <t>153</t>
    </r>
    <r>
      <rPr>
        <b/>
        <sz val="14"/>
        <color theme="1"/>
        <rFont val="宋体"/>
        <charset val="134"/>
        <scheme val="minor"/>
      </rPr>
      <t>间</t>
    </r>
  </si>
  <si>
    <t>预留50间</t>
  </si>
  <si>
    <r>
      <rPr>
        <b/>
        <sz val="14"/>
        <color theme="3"/>
        <rFont val="宋体"/>
        <charset val="134"/>
        <scheme val="minor"/>
      </rPr>
      <t xml:space="preserve">待定，预留
</t>
    </r>
    <r>
      <rPr>
        <b/>
        <sz val="14"/>
        <color theme="4"/>
        <rFont val="宋体"/>
        <charset val="134"/>
        <scheme val="minor"/>
      </rPr>
      <t>230</t>
    </r>
    <r>
      <rPr>
        <b/>
        <sz val="14"/>
        <color theme="3"/>
        <rFont val="宋体"/>
        <charset val="134"/>
        <scheme val="minor"/>
      </rPr>
      <t>间</t>
    </r>
  </si>
  <si>
    <t>含司陪</t>
  </si>
  <si>
    <t>第一批+10.8日上线合计</t>
  </si>
  <si>
    <t>三大酒店+龙泉预留合计</t>
  </si>
  <si>
    <t>待定，预留</t>
  </si>
  <si>
    <t>230间</t>
  </si>
  <si>
    <t>*因线下预留用房存在部分无法通过线上系统完成登记的情况，为防范各酒店发生超房风险，相关操作将为：针对系统不可登记的线下预留用房，在系统总房数内予以对应数量扣减。</t>
  </si>
  <si>
    <t>VIP酒店</t>
  </si>
  <si>
    <t>第一批+10.8日第二批上线</t>
  </si>
  <si>
    <t>截止10.26日15:30未订房间数量</t>
  </si>
  <si>
    <t>未上线但已被预留</t>
  </si>
  <si>
    <t>可上线房间数</t>
  </si>
  <si>
    <t>总数</t>
  </si>
  <si>
    <t>保利</t>
  </si>
  <si>
    <t>金凯悦</t>
  </si>
  <si>
    <t>万达</t>
  </si>
  <si>
    <t>丽宫</t>
  </si>
  <si>
    <t>龙泉</t>
  </si>
  <si>
    <t>普通酒店</t>
  </si>
  <si>
    <t>第一批上线+第二批上线</t>
  </si>
  <si>
    <t>截止10.26日16:30已订数量</t>
  </si>
  <si>
    <t>截止10.26日16:30未订房间数量</t>
  </si>
  <si>
    <t>江门华保体育会展酒店（广东珠西国际会展中心滨江体育中心店）</t>
  </si>
  <si>
    <r>
      <rPr>
        <sz val="16"/>
        <color rgb="FFFF0000"/>
        <rFont val="宋体"/>
        <charset val="134"/>
      </rPr>
      <t>江门丽宫国际酒店</t>
    </r>
    <r>
      <rPr>
        <sz val="16"/>
        <color rgb="FFFF0000"/>
        <rFont val="Times New Roman"/>
        <charset val="134"/>
      </rPr>
      <t>B</t>
    </r>
    <r>
      <rPr>
        <sz val="16"/>
        <color rgb="FFFF0000"/>
        <rFont val="宋体"/>
        <charset val="134"/>
      </rPr>
      <t>座</t>
    </r>
  </si>
  <si>
    <r>
      <rPr>
        <sz val="16"/>
        <rFont val="宋体"/>
        <charset val="134"/>
      </rPr>
      <t>希岸</t>
    </r>
    <r>
      <rPr>
        <sz val="16"/>
        <rFont val="Times New Roman"/>
        <charset val="134"/>
      </rPr>
      <t>Deluxe</t>
    </r>
    <r>
      <rPr>
        <sz val="16"/>
        <rFont val="宋体"/>
        <charset val="134"/>
      </rPr>
      <t>酒店</t>
    </r>
    <r>
      <rPr>
        <sz val="16"/>
        <rFont val="Times New Roman"/>
        <charset val="134"/>
      </rPr>
      <t>(</t>
    </r>
    <r>
      <rPr>
        <sz val="16"/>
        <rFont val="宋体"/>
        <charset val="134"/>
      </rPr>
      <t>江门外海大桥店</t>
    </r>
    <r>
      <rPr>
        <sz val="16"/>
        <rFont val="Times New Roman"/>
        <charset val="134"/>
      </rPr>
      <t>)</t>
    </r>
  </si>
  <si>
    <t>江海豪邑大酒店（江门江海万达店）</t>
  </si>
  <si>
    <t>益美智能酒店（江门江海站益美园店）</t>
  </si>
  <si>
    <r>
      <rPr>
        <sz val="16"/>
        <color rgb="FF000000"/>
        <rFont val="宋体"/>
        <charset val="134"/>
      </rPr>
      <t>山水富丽华酒店</t>
    </r>
    <r>
      <rPr>
        <sz val="16"/>
        <color rgb="FF000000"/>
        <rFont val="Times New Roman"/>
        <charset val="134"/>
      </rPr>
      <t>(</t>
    </r>
    <r>
      <rPr>
        <sz val="16"/>
        <color rgb="FF000000"/>
        <rFont val="宋体"/>
        <charset val="134"/>
      </rPr>
      <t>江门站店</t>
    </r>
    <r>
      <rPr>
        <sz val="16"/>
        <color rgb="FF000000"/>
        <rFont val="Times New Roman"/>
        <charset val="134"/>
      </rPr>
      <t>)</t>
    </r>
  </si>
  <si>
    <r>
      <rPr>
        <sz val="16"/>
        <color theme="1"/>
        <rFont val="宋体"/>
        <charset val="134"/>
      </rPr>
      <t>曼陀伦</t>
    </r>
    <r>
      <rPr>
        <sz val="16"/>
        <color theme="1"/>
        <rFont val="Times New Roman"/>
        <charset val="134"/>
      </rPr>
      <t>Plus</t>
    </r>
    <r>
      <rPr>
        <sz val="16"/>
        <color theme="1"/>
        <rFont val="宋体"/>
        <charset val="134"/>
      </rPr>
      <t>智能酒店</t>
    </r>
    <r>
      <rPr>
        <sz val="16"/>
        <color theme="1"/>
        <rFont val="Times New Roman"/>
        <charset val="134"/>
      </rPr>
      <t>(</t>
    </r>
    <r>
      <rPr>
        <sz val="16"/>
        <color theme="1"/>
        <rFont val="宋体"/>
        <charset val="134"/>
      </rPr>
      <t>江门和兴广场五邑华侨广场店</t>
    </r>
    <r>
      <rPr>
        <sz val="16"/>
        <color theme="1"/>
        <rFont val="Times New Roman"/>
        <charset val="134"/>
      </rPr>
      <t>)</t>
    </r>
  </si>
  <si>
    <r>
      <rPr>
        <sz val="16"/>
        <color theme="1"/>
        <rFont val="宋体"/>
        <charset val="134"/>
      </rPr>
      <t>曼陀伦智能酒店</t>
    </r>
    <r>
      <rPr>
        <sz val="16"/>
        <color theme="1"/>
        <rFont val="Times New Roman"/>
        <charset val="134"/>
      </rPr>
      <t>(</t>
    </r>
    <r>
      <rPr>
        <sz val="16"/>
        <color theme="1"/>
        <rFont val="宋体"/>
        <charset val="134"/>
      </rPr>
      <t>江门职业技术学院店</t>
    </r>
    <r>
      <rPr>
        <sz val="16"/>
        <color theme="1"/>
        <rFont val="Times New Roman"/>
        <charset val="134"/>
      </rPr>
      <t>)</t>
    </r>
  </si>
  <si>
    <t>江门新会花季酒店</t>
  </si>
  <si>
    <t>江门新会希尔顿花园酒店</t>
  </si>
  <si>
    <t>新会圭峰大酒店</t>
  </si>
  <si>
    <r>
      <rPr>
        <sz val="16"/>
        <color rgb="FF000000"/>
        <rFont val="宋体"/>
        <charset val="134"/>
      </rPr>
      <t>非繁城品酒店</t>
    </r>
    <r>
      <rPr>
        <sz val="16"/>
        <color rgb="FF000000"/>
        <rFont val="Times New Roman"/>
        <charset val="134"/>
      </rPr>
      <t>·</t>
    </r>
    <r>
      <rPr>
        <sz val="16"/>
        <color rgb="FF000000"/>
        <rFont val="宋体"/>
        <charset val="134"/>
      </rPr>
      <t>新会步行街店</t>
    </r>
  </si>
  <si>
    <t>广东鹤山方圆福朋喜来登酒店</t>
  </si>
  <si>
    <t>中山市古镇镇华艺广场亚朵酒店</t>
  </si>
  <si>
    <r>
      <rPr>
        <sz val="16"/>
        <rFont val="宋体"/>
        <charset val="134"/>
      </rPr>
      <t>维也纳国际酒店</t>
    </r>
    <r>
      <rPr>
        <sz val="16"/>
        <rFont val="Times New Roman"/>
        <charset val="134"/>
      </rPr>
      <t>(</t>
    </r>
    <r>
      <rPr>
        <sz val="16"/>
        <rFont val="宋体"/>
        <charset val="134"/>
      </rPr>
      <t>中山古镇华艺广场店）</t>
    </r>
  </si>
  <si>
    <t>利和希尔顿花园酒店</t>
  </si>
  <si>
    <t>中山利和威斯汀酒店</t>
  </si>
  <si>
    <t>环化大会第一批可上线酒店</t>
  </si>
  <si>
    <t>片区</t>
  </si>
  <si>
    <t>酒店给房数</t>
  </si>
  <si>
    <t>酒店类型</t>
  </si>
  <si>
    <t>大床房</t>
  </si>
  <si>
    <t>双床房</t>
  </si>
  <si>
    <t>房型说明</t>
  </si>
  <si>
    <t>房价（元/晚）</t>
  </si>
  <si>
    <t>已售（截止11月17日15:30）</t>
  </si>
  <si>
    <t>预留(截止11月12日23:59)</t>
  </si>
  <si>
    <t>预留(截止11.19</t>
  </si>
  <si>
    <t>商务</t>
  </si>
  <si>
    <t>双床房（双早）</t>
  </si>
  <si>
    <t>——</t>
  </si>
  <si>
    <t>大床房（含双早）</t>
  </si>
  <si>
    <t>双床房（含双早）</t>
  </si>
  <si>
    <t>行政大床房（双早）</t>
  </si>
  <si>
    <t>几木大床房（双早）</t>
  </si>
  <si>
    <t>几木双床房（双早）</t>
  </si>
  <si>
    <t>豪华城景大床-含早</t>
  </si>
  <si>
    <t>豪华城景双床-含早</t>
  </si>
  <si>
    <t>轻奢城景双床-含早</t>
  </si>
  <si>
    <t>大床房-含早</t>
  </si>
  <si>
    <t>双床房-含早</t>
  </si>
  <si>
    <t>舒适型</t>
  </si>
  <si>
    <t>豪华大床-含早</t>
  </si>
  <si>
    <t>豪华双床-含早</t>
  </si>
  <si>
    <t>江海区</t>
  </si>
  <si>
    <t>大床房（单早）</t>
  </si>
  <si>
    <t>套房（含早）</t>
  </si>
  <si>
    <t>-</t>
  </si>
  <si>
    <t>已订</t>
  </si>
  <si>
    <t>余房</t>
  </si>
  <si>
    <t>环化大会拟第二批上线酒店</t>
  </si>
  <si>
    <t>酒店总房数</t>
  </si>
  <si>
    <t>给房数</t>
  </si>
  <si>
    <t>已售(截止11月14日15:30)</t>
  </si>
  <si>
    <t>预留（截止11月17日15:30）</t>
  </si>
  <si>
    <t>预留(截止11月19日18:50)</t>
  </si>
  <si>
    <t>江门丽宫国际酒店B座</t>
  </si>
  <si>
    <t>豪华</t>
  </si>
  <si>
    <t>B座陈韵雅致大床（双早）</t>
  </si>
  <si>
    <t>B座陈韵雅致双床（双早）</t>
  </si>
  <si>
    <t>——（含双早）</t>
  </si>
  <si>
    <t>准四</t>
  </si>
  <si>
    <t>江景大床房（单早）</t>
  </si>
  <si>
    <t>商务双床房（双早）</t>
  </si>
  <si>
    <t xml:space="preserve">                 </t>
  </si>
  <si>
    <t>组委会预留名单</t>
  </si>
  <si>
    <t>姓名</t>
  </si>
  <si>
    <t>院校</t>
  </si>
  <si>
    <t>入住酒店</t>
  </si>
  <si>
    <t>入住日期</t>
  </si>
  <si>
    <t>退房日期</t>
  </si>
  <si>
    <t>入住天数</t>
  </si>
  <si>
    <t>房间数量（间）</t>
  </si>
  <si>
    <t>酒店单价（元）</t>
  </si>
  <si>
    <t>应收房费（元）</t>
  </si>
  <si>
    <t>信息来源</t>
  </si>
  <si>
    <t>许继文</t>
  </si>
  <si>
    <t>南科大 资助81人,41间房</t>
  </si>
  <si>
    <t>10人</t>
  </si>
  <si>
    <t>69人</t>
  </si>
  <si>
    <t>免住宿</t>
  </si>
  <si>
    <t>刘长宇</t>
  </si>
  <si>
    <t>江桂斌（院士）</t>
  </si>
  <si>
    <t>中国科学院生态环境研究中心</t>
  </si>
  <si>
    <t>线下付款，不能催付款</t>
  </si>
  <si>
    <t>李景虹（院士）</t>
  </si>
  <si>
    <t>清华大学</t>
  </si>
  <si>
    <t>薛其坤（院士）</t>
  </si>
  <si>
    <t>中国科学院院士</t>
  </si>
  <si>
    <t>免住宿，万达最好套房，近江院士房间</t>
  </si>
  <si>
    <t>已与万达经理沟通，安排的两个行政套房在同一层，间隔10米</t>
  </si>
  <si>
    <t xml:space="preserve"> Susan D. Richardson</t>
  </si>
  <si>
    <t>University of South Carolina</t>
  </si>
  <si>
    <t>Fabio Pulizzi</t>
  </si>
  <si>
    <t>刘长宇29</t>
  </si>
  <si>
    <t>万莹</t>
  </si>
  <si>
    <t>基金委</t>
  </si>
  <si>
    <t>豪华大床房</t>
  </si>
  <si>
    <r>
      <rPr>
        <sz val="11"/>
        <color rgb="FF000000"/>
        <rFont val="宋体"/>
        <charset val="134"/>
      </rPr>
      <t>免住宿，</t>
    </r>
    <r>
      <rPr>
        <sz val="11"/>
        <color rgb="FFFF0000"/>
        <rFont val="宋体"/>
        <charset val="134"/>
      </rPr>
      <t>预订平台已登记1间</t>
    </r>
  </si>
  <si>
    <t>庄乾坤</t>
  </si>
  <si>
    <t>王春霞</t>
  </si>
  <si>
    <t>待定</t>
  </si>
  <si>
    <t>余立风</t>
  </si>
  <si>
    <t>张金龙（院士）</t>
  </si>
  <si>
    <t>华东理工大学</t>
  </si>
  <si>
    <t>朱利中（院士）</t>
  </si>
  <si>
    <t>浙江大学</t>
  </si>
  <si>
    <t>免住宿，预订平台已登记</t>
  </si>
  <si>
    <t>陈春城</t>
  </si>
  <si>
    <t>中国科学院化学研究所</t>
  </si>
  <si>
    <t>商务单人房</t>
  </si>
  <si>
    <t>专家自付</t>
  </si>
  <si>
    <t>张涛院士</t>
  </si>
  <si>
    <t>大会免住宿</t>
  </si>
  <si>
    <t>2张餐票，最好的套房 （带家属）</t>
  </si>
  <si>
    <t>院士随行人员</t>
  </si>
  <si>
    <t>高级大床房</t>
  </si>
  <si>
    <t>刘维屏</t>
  </si>
  <si>
    <t>专委会委员</t>
  </si>
  <si>
    <t>阚海东</t>
  </si>
  <si>
    <t>要茂盛</t>
  </si>
  <si>
    <t>冯新斌</t>
  </si>
  <si>
    <t>王秋泉</t>
  </si>
  <si>
    <t>吴永宁</t>
  </si>
  <si>
    <t>孙红文</t>
  </si>
  <si>
    <t>宋茂勇</t>
  </si>
  <si>
    <t>俞汉青（院士）</t>
  </si>
  <si>
    <t>中国科学技术大学</t>
  </si>
  <si>
    <t>陶澍</t>
  </si>
  <si>
    <t>北京大学</t>
  </si>
  <si>
    <t>付贤智</t>
  </si>
  <si>
    <t>福州大学</t>
  </si>
  <si>
    <t>付贤智院士陪同人员</t>
  </si>
  <si>
    <t>柴之芳（夫妇）</t>
  </si>
  <si>
    <t>中国科学院高能物理研究所</t>
  </si>
  <si>
    <t>两张餐票，要最好的套房（带家属）</t>
  </si>
  <si>
    <t>沈洪兵</t>
  </si>
  <si>
    <t>国家卫生健康委员会</t>
  </si>
  <si>
    <t>要最好的套房</t>
  </si>
  <si>
    <t>郝吉明</t>
  </si>
  <si>
    <t>汪华林</t>
  </si>
  <si>
    <t>杨志峰</t>
  </si>
  <si>
    <t>广东工业大学</t>
  </si>
  <si>
    <t>贺泓</t>
  </si>
  <si>
    <t>吴丰昌</t>
  </si>
  <si>
    <t>中国环境科学研究院</t>
  </si>
  <si>
    <t>朱永官</t>
  </si>
  <si>
    <t>余刚</t>
  </si>
  <si>
    <t>北京师范大学</t>
  </si>
  <si>
    <t>徐义刚</t>
  </si>
  <si>
    <t>中国科学院广州地球化学研究所</t>
  </si>
  <si>
    <t>何宏平</t>
  </si>
  <si>
    <t>王焰新</t>
  </si>
  <si>
    <t>中国地质大学（武汉）</t>
  </si>
  <si>
    <t>魏迪（院士）</t>
  </si>
  <si>
    <t>中国科学院北京纳米能源与系统研究所</t>
  </si>
  <si>
    <t>任南琪</t>
  </si>
  <si>
    <t>哈尔滨工业大学</t>
  </si>
  <si>
    <t>任洪强</t>
  </si>
  <si>
    <t>南京大学</t>
  </si>
  <si>
    <t>侯立安</t>
  </si>
  <si>
    <t>中国人民解放军火箭军工程大学、火箭军后勤科学技术研究所</t>
  </si>
  <si>
    <t>刘文清</t>
  </si>
  <si>
    <t>蒋建东</t>
  </si>
  <si>
    <t>中国医学科学院药物研究所</t>
  </si>
  <si>
    <t>陈春英</t>
  </si>
  <si>
    <t>国家纳米科学中心、中国科学院纳米生物效应与安全性重点实验室</t>
  </si>
  <si>
    <t>高翔</t>
  </si>
  <si>
    <t>大连理工大学</t>
  </si>
  <si>
    <t>魏复盛</t>
  </si>
  <si>
    <t>中国环境监测总站、中国科学技术大学</t>
  </si>
  <si>
    <t>黄建平</t>
  </si>
  <si>
    <t>兰州大学、西部生态安全省部共建协同创新中心、半干旱气候变化教育部重点实验室主任</t>
  </si>
  <si>
    <t>叶国安（院士）</t>
  </si>
  <si>
    <t>赵进才</t>
  </si>
  <si>
    <t>28日到</t>
  </si>
  <si>
    <t>两张餐票，要最好的套房</t>
  </si>
  <si>
    <t>唐波</t>
  </si>
  <si>
    <t>崂山国家实验室</t>
  </si>
  <si>
    <t>专家个人已预订龙泉</t>
  </si>
  <si>
    <t>唐波随行人员</t>
  </si>
  <si>
    <t>陈荣</t>
  </si>
  <si>
    <t>西安建筑科技大学副校长</t>
  </si>
  <si>
    <t>张杭君</t>
  </si>
  <si>
    <t>53分会，杭州师范大学副校长</t>
  </si>
  <si>
    <t>桑楠</t>
  </si>
  <si>
    <t>山西能源学院党委副书记、院长</t>
  </si>
  <si>
    <t>专家已自行线上预定</t>
  </si>
  <si>
    <t>潘学军</t>
  </si>
  <si>
    <t>昆明理工大学副校长</t>
  </si>
  <si>
    <t>蔡宗苇</t>
  </si>
  <si>
    <t>宁波东方理工大学协理副校长</t>
  </si>
  <si>
    <t>茂</t>
  </si>
  <si>
    <t>暨南大学原校长</t>
  </si>
  <si>
    <t>李和兴</t>
  </si>
  <si>
    <t>原校长</t>
  </si>
  <si>
    <t>葛飞</t>
  </si>
  <si>
    <t>湘潭大学副校长</t>
  </si>
  <si>
    <t>范朝霞已代订江门华保体育会展酒店（广东珠西国际会展中心滨江体育中心店）</t>
  </si>
  <si>
    <t>王沛芳</t>
  </si>
  <si>
    <t>华北水利水电大学</t>
  </si>
  <si>
    <t>主题养生单人房</t>
  </si>
  <si>
    <t>刘思金团队5人</t>
  </si>
  <si>
    <t>84分会</t>
  </si>
  <si>
    <t>曹宏斌院士</t>
  </si>
  <si>
    <t>李俊华院士</t>
  </si>
  <si>
    <t>17分会 清华大学</t>
  </si>
  <si>
    <t>Wonyong Choi（院士）</t>
  </si>
  <si>
    <t>姜晓刚 ACS</t>
  </si>
  <si>
    <t>分会院士、刘长宇</t>
  </si>
  <si>
    <t>Trevor David Waite（院士）</t>
  </si>
  <si>
    <t>Michael Siu 萧锦荣 （院士）</t>
  </si>
  <si>
    <t>乐晓春（院士）</t>
  </si>
  <si>
    <t>Xing-Fang Li 同住</t>
  </si>
  <si>
    <t>Derek Charles Gordon Muir（院士）</t>
  </si>
  <si>
    <t>行政单人房</t>
  </si>
  <si>
    <t>Paul Westerhoff（院士）</t>
  </si>
  <si>
    <t>Pedro J.J. Alvarez（院士）</t>
  </si>
  <si>
    <t>Madelyn Whitaker（Pedro助手）</t>
  </si>
  <si>
    <t>Zhiguo Yuan（院士）</t>
  </si>
  <si>
    <t>Abror Gadaev</t>
  </si>
  <si>
    <t>Lee Hian Kee</t>
  </si>
  <si>
    <t>唐盛</t>
  </si>
  <si>
    <t>Lee Hian Kee同行</t>
  </si>
  <si>
    <t>郑焰</t>
  </si>
  <si>
    <t>南方科技大学</t>
  </si>
  <si>
    <t>高级城景大床房</t>
  </si>
  <si>
    <r>
      <rPr>
        <sz val="11"/>
        <color rgb="FF000000"/>
        <rFont val="宋体"/>
        <charset val="134"/>
      </rPr>
      <t>大会免住宿，</t>
    </r>
    <r>
      <rPr>
        <sz val="11"/>
        <color rgb="FFFF0000"/>
        <rFont val="宋体"/>
        <charset val="134"/>
      </rPr>
      <t>预订平台已登记1间</t>
    </r>
  </si>
  <si>
    <t>赵美训</t>
  </si>
  <si>
    <t>张山青</t>
  </si>
  <si>
    <t>Li Qilin 李琪琳</t>
  </si>
  <si>
    <t>29分会</t>
  </si>
  <si>
    <t xml:space="preserve">Yongsheng Chen 陈勇生 </t>
  </si>
  <si>
    <t>Zhiyong Ren 任智勇</t>
  </si>
  <si>
    <t>阮挺</t>
  </si>
  <si>
    <t>六个闭幕式综述报告人</t>
  </si>
  <si>
    <t>张新星</t>
  </si>
  <si>
    <t>邢明阳</t>
  </si>
  <si>
    <t>王书肖</t>
  </si>
  <si>
    <t>高级湖景大床房</t>
  </si>
  <si>
    <t>宋扬</t>
  </si>
  <si>
    <t>史薇</t>
  </si>
  <si>
    <t>朱相宇</t>
  </si>
  <si>
    <t>99分会，海外青年22人</t>
  </si>
  <si>
    <t>新会碧桂园凤悦凤凰酒店</t>
  </si>
  <si>
    <t>高级大床房(单早)</t>
  </si>
  <si>
    <t>22名 海外学者</t>
  </si>
  <si>
    <t>吴盛华</t>
  </si>
  <si>
    <t>曾金金</t>
  </si>
  <si>
    <t>张荆晶</t>
  </si>
  <si>
    <t>杨凯超</t>
  </si>
  <si>
    <t>王琪</t>
  </si>
  <si>
    <t>高级双床房</t>
  </si>
  <si>
    <t>张璐</t>
  </si>
  <si>
    <t>杨培增</t>
  </si>
  <si>
    <t>11月28日晚上</t>
  </si>
  <si>
    <t>12月2日中午</t>
  </si>
  <si>
    <t>韩佳芮</t>
  </si>
  <si>
    <t>陈维伟</t>
  </si>
  <si>
    <t>周升华</t>
  </si>
  <si>
    <t>卢际</t>
  </si>
  <si>
    <t>11月28日午后</t>
  </si>
  <si>
    <t>任萌</t>
  </si>
  <si>
    <t>陈锟鹏</t>
  </si>
  <si>
    <t>史咲頔</t>
  </si>
  <si>
    <t>孙莹莹</t>
  </si>
  <si>
    <t>谭学超</t>
  </si>
  <si>
    <t>王昆</t>
  </si>
  <si>
    <t>12月2日早上</t>
  </si>
  <si>
    <t>杨哲</t>
  </si>
  <si>
    <t>11月27日下午</t>
  </si>
  <si>
    <t>12月2日晚上</t>
  </si>
  <si>
    <t>张煜耀</t>
  </si>
  <si>
    <t>11.28日</t>
  </si>
  <si>
    <t>赵世新</t>
  </si>
  <si>
    <t>屈松莹</t>
  </si>
  <si>
    <t>谭凤仪</t>
  </si>
  <si>
    <t>谭凤仪老师一行</t>
  </si>
  <si>
    <t>邓丹</t>
  </si>
  <si>
    <t>专家自付，与谭凤仪老师一起</t>
  </si>
  <si>
    <t>陈文艺</t>
  </si>
  <si>
    <t>中大付，陈若虹</t>
  </si>
  <si>
    <t>许玫英</t>
  </si>
  <si>
    <t>张玉奎（院士）</t>
  </si>
  <si>
    <t>44分会</t>
  </si>
  <si>
    <t>2张餐票（带家属）</t>
  </si>
  <si>
    <t>高绍荣院士</t>
  </si>
  <si>
    <t>Prof. Guomin Li</t>
  </si>
  <si>
    <t>30或者12月2离店</t>
  </si>
  <si>
    <t>汪海林</t>
  </si>
  <si>
    <t>刘鹏</t>
  </si>
  <si>
    <t>4分会</t>
  </si>
  <si>
    <t>郭学涛</t>
  </si>
  <si>
    <t>杜尧</t>
  </si>
  <si>
    <t>曹文庚</t>
  </si>
  <si>
    <t>李芳柏</t>
  </si>
  <si>
    <t>郑明辉</t>
  </si>
  <si>
    <t>退费，留套房</t>
  </si>
  <si>
    <t>张先恩</t>
  </si>
  <si>
    <t>VVIP，按院士标准接待，携夫人</t>
  </si>
  <si>
    <t>两张餐票（带家属）</t>
  </si>
  <si>
    <t>裴承新</t>
  </si>
  <si>
    <t>军事科学院</t>
  </si>
  <si>
    <t>习海玲</t>
  </si>
  <si>
    <t>高润利</t>
  </si>
  <si>
    <t>王东红</t>
  </si>
  <si>
    <t>李心砚</t>
  </si>
  <si>
    <t>保利会务用房10间</t>
  </si>
  <si>
    <t>会务用房</t>
  </si>
  <si>
    <t>大会付</t>
  </si>
  <si>
    <t>高级城景双床房</t>
  </si>
  <si>
    <t>24小时医护+1教师+2/3学生 3间</t>
  </si>
  <si>
    <t>豪华双床</t>
  </si>
  <si>
    <t>豪华双床房</t>
  </si>
  <si>
    <t>1教师+2学生 2间</t>
  </si>
  <si>
    <t>1教师 1间</t>
  </si>
  <si>
    <t xml:space="preserve">江门丽宫国际酒店 </t>
  </si>
  <si>
    <t xml:space="preserve">  B座陈韵雅致大床</t>
  </si>
  <si>
    <t>闫凌</t>
  </si>
  <si>
    <t>10分会</t>
  </si>
  <si>
    <t>专家自付（分会承担空房费）</t>
  </si>
  <si>
    <t>赵娟</t>
  </si>
  <si>
    <t>史建波</t>
  </si>
  <si>
    <t>张干</t>
  </si>
  <si>
    <t>12分会</t>
  </si>
  <si>
    <t>袁婷</t>
  </si>
  <si>
    <t>聂宗秀杰青</t>
  </si>
  <si>
    <t>王方军杰青</t>
  </si>
  <si>
    <t>乔亮杰青</t>
  </si>
  <si>
    <t>刘同旭杰青</t>
  </si>
  <si>
    <t xml:space="preserve">60分会 </t>
  </si>
  <si>
    <t>朱东强杰青</t>
  </si>
  <si>
    <t>臻享商务单人房</t>
  </si>
  <si>
    <t>瞿晓磊</t>
  </si>
  <si>
    <t>程谊杰青</t>
  </si>
  <si>
    <t>关小红</t>
  </si>
  <si>
    <t>杨涛老师代预留</t>
  </si>
  <si>
    <t>方晶云</t>
  </si>
  <si>
    <t>刘虎威</t>
  </si>
  <si>
    <t>100分会 杨立平</t>
  </si>
  <si>
    <t>江门丽宫国际酒店VIP</t>
  </si>
  <si>
    <t>尹碧桃</t>
  </si>
  <si>
    <t xml:space="preserve">江门丽宫国际酒店VIP </t>
  </si>
  <si>
    <t>刘秋红</t>
  </si>
  <si>
    <r>
      <rPr>
        <sz val="11"/>
        <color rgb="FF000000"/>
        <rFont val="宋体"/>
        <charset val="134"/>
        <scheme val="minor"/>
      </rPr>
      <t>江门丽宫国际酒店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</si>
  <si>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B座陈韵雅致大床</t>
    </r>
  </si>
  <si>
    <t>焦洁</t>
  </si>
  <si>
    <t>吴淑琪</t>
  </si>
  <si>
    <t>薛莉</t>
  </si>
  <si>
    <t>魏学楠</t>
  </si>
  <si>
    <t>张翯</t>
  </si>
  <si>
    <t>翟若木</t>
  </si>
  <si>
    <t>桂三刚</t>
  </si>
  <si>
    <t>杨立平</t>
  </si>
  <si>
    <t>佟艳春</t>
  </si>
  <si>
    <t>姚文清</t>
  </si>
  <si>
    <t>申孟芝</t>
  </si>
  <si>
    <t>杨静</t>
  </si>
  <si>
    <t>陈洪俊</t>
  </si>
  <si>
    <t>张林娟</t>
  </si>
  <si>
    <t>朱凌云</t>
  </si>
  <si>
    <t>梁莹莹</t>
  </si>
  <si>
    <t>蔡国发</t>
  </si>
  <si>
    <t>92分会</t>
  </si>
  <si>
    <r>
      <rPr>
        <sz val="11"/>
        <color rgb="FF000000"/>
        <rFont val="宋体"/>
        <charset val="134"/>
        <scheme val="minor"/>
      </rPr>
      <t>江门富力万达嘉华酒店</t>
    </r>
    <r>
      <rPr>
        <sz val="11"/>
        <color rgb="FF000000"/>
        <rFont val="宋体"/>
        <charset val="134"/>
        <scheme val="minor"/>
      </rPr>
      <t xml:space="preserve"> </t>
    </r>
  </si>
  <si>
    <t>李洁</t>
  </si>
  <si>
    <t>14分会陈洁课题组</t>
  </si>
  <si>
    <t>江海碧桂园凤凰酒店</t>
  </si>
  <si>
    <t>秦华明</t>
  </si>
  <si>
    <t xml:space="preserve">暨大教师预留 李晓唐13924037017
总共24间
</t>
  </si>
  <si>
    <t>巫承洲</t>
  </si>
  <si>
    <t>黄山</t>
  </si>
  <si>
    <t>曹刚</t>
  </si>
  <si>
    <t>胡浩</t>
  </si>
  <si>
    <t>游静</t>
  </si>
  <si>
    <t>刘国强</t>
  </si>
  <si>
    <t>刘润</t>
  </si>
  <si>
    <t>吴鸣</t>
  </si>
  <si>
    <t>贾苗苗</t>
  </si>
  <si>
    <t>黄新喜</t>
  </si>
  <si>
    <r>
      <rPr>
        <sz val="11"/>
        <color theme="1"/>
        <rFont val="宋体"/>
        <charset val="134"/>
        <scheme val="minor"/>
      </rPr>
      <t>王立立</t>
    </r>
    <r>
      <rPr>
        <sz val="11"/>
        <color theme="1"/>
        <rFont val="宋体"/>
        <charset val="134"/>
        <scheme val="minor"/>
      </rPr>
      <t xml:space="preserve"> </t>
    </r>
  </si>
  <si>
    <t>龙焰</t>
  </si>
  <si>
    <t>熊鹰</t>
  </si>
  <si>
    <t>童康博</t>
  </si>
  <si>
    <t>鲍恋君</t>
  </si>
  <si>
    <t>杨婧羚</t>
  </si>
  <si>
    <t>于洋</t>
  </si>
  <si>
    <t>宫艳艳</t>
  </si>
  <si>
    <t>刘良英</t>
  </si>
  <si>
    <t>李晓唐</t>
  </si>
  <si>
    <t>汪婷婷</t>
  </si>
  <si>
    <t>温昱（姓名待定）</t>
  </si>
  <si>
    <t>郭英</t>
  </si>
  <si>
    <t>谭炜兰、陈萍萍、程瑶等</t>
  </si>
  <si>
    <t>暨大学生预留 李晓唐 
共58间：114名学生+2位司机</t>
  </si>
  <si>
    <t>张梓荣等</t>
  </si>
  <si>
    <t>宋桂娴等</t>
  </si>
  <si>
    <t>刘娜等</t>
  </si>
  <si>
    <t>暨大司机2位</t>
  </si>
  <si>
    <t>周婧</t>
  </si>
  <si>
    <t>89分会</t>
  </si>
  <si>
    <t>专家现场刷公务卡自付</t>
  </si>
  <si>
    <t>张相如</t>
  </si>
  <si>
    <t>51分会</t>
  </si>
  <si>
    <t>He jianzhong</t>
  </si>
  <si>
    <t>5分会 鲁祺鸿代留</t>
  </si>
  <si>
    <t>专家自付，带小朋友最好有儿童房</t>
  </si>
  <si>
    <t>Bayeshova Saltant</t>
  </si>
  <si>
    <t>自付，与Nurzhanova Assil 同住</t>
  </si>
  <si>
    <t>Charles Shiu Wong</t>
  </si>
  <si>
    <t>103/85/95分会</t>
  </si>
  <si>
    <t>分会支付，哪个分会？</t>
  </si>
  <si>
    <t>Lucia Muñoz Franco、周蕾</t>
  </si>
  <si>
    <t xml:space="preserve">103分会 </t>
  </si>
  <si>
    <t>Jianhua Guo</t>
  </si>
  <si>
    <t>99分会 孔德懿代留</t>
  </si>
  <si>
    <t>Daniel Keith Schlenk</t>
  </si>
  <si>
    <t>6分会 伍天翔代留</t>
  </si>
  <si>
    <t>Margaret Mills</t>
  </si>
  <si>
    <t xml:space="preserve">Hnkolaeb/Nikolave </t>
  </si>
  <si>
    <t>14分会 梁斌代留</t>
  </si>
  <si>
    <t>专家自付，大床+双床各一个，填的房间数3间，按高级大床1间+双床2间</t>
  </si>
  <si>
    <t>Evgeny Nikolaevich Nikolaev院士</t>
  </si>
  <si>
    <t>Grace Evelyn Thoburn</t>
  </si>
  <si>
    <t>95分会 李萌</t>
  </si>
  <si>
    <t>Peter Vikesland</t>
  </si>
  <si>
    <t>Mengyan Li</t>
  </si>
  <si>
    <t>于志刚</t>
  </si>
  <si>
    <t>曹佩珂</t>
  </si>
  <si>
    <t>74分会 曹佩珂代留</t>
  </si>
  <si>
    <t>2025.11.5日扫码预留</t>
  </si>
  <si>
    <t>展思辉</t>
  </si>
  <si>
    <t>24分会 杨涛</t>
  </si>
  <si>
    <t>王传洗,冯彦房,程冰徐</t>
  </si>
  <si>
    <t>75分会 王传洗</t>
  </si>
  <si>
    <t>季亚卉</t>
  </si>
  <si>
    <t>王中江</t>
  </si>
  <si>
    <t>43分会 胥欣欣</t>
  </si>
  <si>
    <t>唐洁</t>
  </si>
  <si>
    <t>赵雪利</t>
  </si>
  <si>
    <t>高锐</t>
  </si>
  <si>
    <t>赵月亮</t>
  </si>
  <si>
    <t>李大鹏</t>
  </si>
  <si>
    <t>张娜</t>
  </si>
  <si>
    <t>江门奥普斯酒店 (江门东站店)</t>
  </si>
  <si>
    <t>刘蓉</t>
  </si>
  <si>
    <t>刘晓飞</t>
  </si>
  <si>
    <t>江门三木里酒店 (江海站白水带公园店)</t>
  </si>
  <si>
    <t>2025.11.6日扫码预留</t>
  </si>
  <si>
    <t>游松</t>
  </si>
  <si>
    <t>93分会 罗盼</t>
  </si>
  <si>
    <t>刘宏伟</t>
  </si>
  <si>
    <t>姜勇</t>
  </si>
  <si>
    <t>林生</t>
  </si>
  <si>
    <t>胡丹</t>
  </si>
  <si>
    <t>严春艳</t>
  </si>
  <si>
    <t>何祥久</t>
  </si>
  <si>
    <t>戴毅</t>
  </si>
  <si>
    <t>廖伍平，吴王锁，潘多强，第五娟</t>
  </si>
  <si>
    <t>56分会</t>
  </si>
  <si>
    <t>马利建，冯美玲，毛亮，孔令军</t>
  </si>
  <si>
    <t>徐超</t>
  </si>
  <si>
    <t>唐曦阳</t>
  </si>
  <si>
    <t>朱本占</t>
  </si>
  <si>
    <t>45分会</t>
  </si>
  <si>
    <t>孙阳昭</t>
  </si>
  <si>
    <t>79分会</t>
  </si>
  <si>
    <t>姜杰、凌岚、郑成斌</t>
  </si>
  <si>
    <t xml:space="preserve">83分会 </t>
  </si>
  <si>
    <t>李灼坤</t>
  </si>
  <si>
    <t>杜欣军</t>
  </si>
  <si>
    <t>郭宇星</t>
  </si>
  <si>
    <t>曹崇江</t>
  </si>
  <si>
    <t>王进</t>
  </si>
  <si>
    <t>董庆利</t>
  </si>
  <si>
    <t>郭明璋</t>
  </si>
  <si>
    <t>降林华</t>
  </si>
  <si>
    <t>39分会</t>
  </si>
  <si>
    <t>2025.11.7日扫码预留</t>
  </si>
  <si>
    <t>孙峙</t>
  </si>
  <si>
    <t>39分会 吕伟光</t>
  </si>
  <si>
    <t>路璐</t>
  </si>
  <si>
    <t>28分会 周慧慧</t>
  </si>
  <si>
    <t>李振兴</t>
  </si>
  <si>
    <t>张怡</t>
  </si>
  <si>
    <t>胥传来</t>
  </si>
  <si>
    <t>周俊良</t>
  </si>
  <si>
    <t>33分会 冯裕栋</t>
  </si>
  <si>
    <t>石伟群，刘志博</t>
  </si>
  <si>
    <t>56分会 孔令军</t>
  </si>
  <si>
    <t>2025.11.9日扫码预留</t>
  </si>
  <si>
    <t>龚山陵</t>
  </si>
  <si>
    <t>15分会彭剑飞</t>
  </si>
  <si>
    <t>2025.11.10日扫码预留</t>
  </si>
  <si>
    <t>2025.11.11日扫码预留</t>
  </si>
  <si>
    <t>胡春</t>
  </si>
  <si>
    <t>24分会 杨涛老师</t>
  </si>
  <si>
    <t>陈宝梁</t>
  </si>
  <si>
    <t>30分会 张北</t>
  </si>
  <si>
    <t>曹心德</t>
  </si>
  <si>
    <t>王海龙</t>
  </si>
  <si>
    <t>2025.11.17日扫码预留</t>
  </si>
  <si>
    <t>施春雷</t>
  </si>
  <si>
    <t>66分会 何良英</t>
  </si>
  <si>
    <t>王传义</t>
  </si>
  <si>
    <t>71分会，欧洲科学院院士</t>
  </si>
  <si>
    <t>2025.11.18日扫码预留</t>
  </si>
  <si>
    <t>邢德峰</t>
  </si>
  <si>
    <t>张长斌，邓积光，彭悦</t>
  </si>
  <si>
    <t>17分会</t>
  </si>
  <si>
    <t>单文坡、荆国华、李双德、罗永明、汪黎东、瞿赞、
苏伟，王健礼，王胜，韦岳长</t>
  </si>
  <si>
    <t>2025.11.19日扫码预留及登记</t>
  </si>
  <si>
    <t xml:space="preserve">陈梦舫 </t>
  </si>
  <si>
    <t>刘伟江</t>
  </si>
  <si>
    <t>王水</t>
  </si>
  <si>
    <t>李培月</t>
  </si>
  <si>
    <t>王诗忠</t>
  </si>
  <si>
    <t>33分会</t>
  </si>
  <si>
    <t>郭庆军</t>
  </si>
  <si>
    <t>12分会 姚林林</t>
  </si>
  <si>
    <t>张登松</t>
  </si>
  <si>
    <t>73分会 王芃芦</t>
  </si>
  <si>
    <t>贾永锋</t>
  </si>
  <si>
    <t>63分会孔令昊</t>
  </si>
  <si>
    <t>于云江</t>
  </si>
  <si>
    <t>57刘晓途</t>
  </si>
  <si>
    <t>张岚</t>
  </si>
  <si>
    <t>11分会王玉</t>
  </si>
  <si>
    <t>李卫民</t>
  </si>
  <si>
    <t>18分会</t>
  </si>
  <si>
    <t>李雨宸</t>
  </si>
  <si>
    <t>赵丽娟</t>
  </si>
  <si>
    <t>67分会</t>
  </si>
  <si>
    <t>甘剑英/Jay Gan</t>
  </si>
  <si>
    <t>莫测辉</t>
  </si>
  <si>
    <t xml:space="preserve">吉贵祥  </t>
  </si>
  <si>
    <t>53分会</t>
  </si>
  <si>
    <t>2025.11.20日扫码预留及登记</t>
  </si>
  <si>
    <t>何艳</t>
  </si>
  <si>
    <t>10分会 王晶晶</t>
  </si>
  <si>
    <t>侯小琳，王祥科，王宁</t>
  </si>
  <si>
    <t>56分会孔令军</t>
  </si>
  <si>
    <t>吕弋</t>
  </si>
  <si>
    <t>8分会 徐剑桥</t>
  </si>
  <si>
    <t xml:space="preserve"> 冯洋</t>
  </si>
  <si>
    <t>朱芳</t>
  </si>
  <si>
    <t>林道辉、侯杰（各一间）</t>
  </si>
  <si>
    <t>侯杰</t>
  </si>
  <si>
    <t>朱润良</t>
  </si>
  <si>
    <t>61分会李浩</t>
  </si>
  <si>
    <t xml:space="preserve"> 何锋</t>
  </si>
  <si>
    <t>2025.11.21日扫码预留及登记</t>
  </si>
  <si>
    <t>郑春苗</t>
  </si>
  <si>
    <t>23分会 宁波东方理工大学，南方科技大学</t>
  </si>
  <si>
    <t>宁寻安</t>
  </si>
  <si>
    <t>38分会 石岩 29间</t>
  </si>
  <si>
    <t>何小松</t>
  </si>
  <si>
    <t>杨利明</t>
  </si>
  <si>
    <t>李响</t>
  </si>
  <si>
    <t>陈洪</t>
  </si>
  <si>
    <t>胡敬平</t>
  </si>
  <si>
    <t>李江山</t>
  </si>
  <si>
    <t>刘武军</t>
  </si>
  <si>
    <t>刘学明</t>
  </si>
  <si>
    <t>尹华意</t>
  </si>
  <si>
    <t>张伟军</t>
  </si>
  <si>
    <t>张耀斌</t>
  </si>
  <si>
    <t>吴玉峰</t>
  </si>
  <si>
    <t>王树荣</t>
  </si>
  <si>
    <t>张作泰</t>
  </si>
  <si>
    <t>吕学斌</t>
  </si>
  <si>
    <t>胡艳君</t>
  </si>
  <si>
    <t>董发勤</t>
  </si>
  <si>
    <t>江霞</t>
  </si>
  <si>
    <t>刘阳生</t>
  </si>
  <si>
    <t>章骅</t>
  </si>
  <si>
    <t>陈冠益</t>
  </si>
  <si>
    <t>程芳琴</t>
  </si>
  <si>
    <t>戴晓虎</t>
  </si>
  <si>
    <t>罗旭彪</t>
  </si>
  <si>
    <t>宁平</t>
  </si>
  <si>
    <t>杨家宽</t>
  </si>
  <si>
    <t>林璋</t>
  </si>
  <si>
    <t>石岩</t>
  </si>
  <si>
    <t>王晗</t>
  </si>
  <si>
    <t>张可菁</t>
  </si>
  <si>
    <t>魏宗苏</t>
  </si>
  <si>
    <t>鲁金凤</t>
  </si>
  <si>
    <t>孙红哲</t>
  </si>
  <si>
    <t>46分会 刘丽红</t>
  </si>
  <si>
    <t>杨仕超</t>
  </si>
  <si>
    <t>91分会 程霖宇</t>
  </si>
  <si>
    <t>戚豫</t>
  </si>
  <si>
    <t>42分会 戚豫</t>
  </si>
  <si>
    <t>第十三届全国环境化学大会外籍专家用房登记（收集结果）</t>
  </si>
  <si>
    <t>提交者</t>
  </si>
  <si>
    <t>联系人</t>
  </si>
  <si>
    <t>联系方式</t>
  </si>
  <si>
    <t>证件名称</t>
  </si>
  <si>
    <t>证件号码</t>
  </si>
  <si>
    <t>收费形式</t>
  </si>
  <si>
    <t>刘素琴</t>
  </si>
  <si>
    <t>HG627404</t>
  </si>
  <si>
    <t>X. Chris Le</t>
  </si>
  <si>
    <t>POS机支付</t>
  </si>
  <si>
    <t>Xiangru 张相如</t>
  </si>
  <si>
    <t>H60155102</t>
  </si>
  <si>
    <t>RN</t>
  </si>
  <si>
    <t>Raman Novikau</t>
  </si>
  <si>
    <t>Passport</t>
  </si>
  <si>
    <t>AB3489892</t>
  </si>
  <si>
    <t>微信/支付宝扫码支付</t>
  </si>
  <si>
    <t>Qihong Lu</t>
  </si>
  <si>
    <t>鲁祺鸿</t>
  </si>
  <si>
    <t>K2071792E</t>
  </si>
  <si>
    <t>豪华双床房（无房，改行政双床）</t>
  </si>
  <si>
    <t>带小朋友最好有儿童房</t>
  </si>
  <si>
    <t>周蕾</t>
  </si>
  <si>
    <t>Lucia Muñoz Franco</t>
  </si>
  <si>
    <t>NP9H53J18</t>
  </si>
  <si>
    <t>孔多多</t>
  </si>
  <si>
    <t>EQ6317073</t>
  </si>
  <si>
    <t>Paul</t>
  </si>
  <si>
    <t>王坡</t>
  </si>
  <si>
    <t>孔德懿</t>
  </si>
  <si>
    <t>EB4922180</t>
  </si>
  <si>
    <t xml:space="preserve">召集人 </t>
  </si>
  <si>
    <t>西小瓜</t>
  </si>
  <si>
    <t>杨晓溪</t>
  </si>
  <si>
    <t>JEONGEUN OH</t>
  </si>
  <si>
    <t>M95504585</t>
  </si>
  <si>
    <t>联系人支付房费</t>
  </si>
  <si>
    <t>想五天</t>
  </si>
  <si>
    <t>伍天翔</t>
  </si>
  <si>
    <t>A03580668</t>
  </si>
  <si>
    <t>臻享商务单人房（75寸彩电）（单早）</t>
  </si>
  <si>
    <t>姜晓刚</t>
  </si>
  <si>
    <t>N16193992</t>
  </si>
  <si>
    <t>与Nurzhanova Assil 同住</t>
  </si>
  <si>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微信/支付宝扫码自付</t>
    </r>
  </si>
  <si>
    <t>LB</t>
  </si>
  <si>
    <t>梁斌</t>
  </si>
  <si>
    <t>大床+双床各一个，填的房间数3间，按高级大床1间+豪华双床2间</t>
  </si>
  <si>
    <t>Derek Charles Gordon Muir</t>
  </si>
  <si>
    <t>HM321274</t>
  </si>
  <si>
    <r>
      <rPr>
        <sz val="11"/>
        <color rgb="FF000000"/>
        <rFont val="宋体"/>
        <charset val="134"/>
        <scheme val="minor"/>
      </rPr>
      <t>加拿大皇家科学院院士免住宿费</t>
    </r>
    <r>
      <rPr>
        <sz val="11"/>
        <color rgb="FFFF0000"/>
        <rFont val="宋体"/>
        <charset val="134"/>
        <scheme val="minor"/>
      </rPr>
      <t>（五邑大学初步计划由组委会付房费）</t>
    </r>
  </si>
  <si>
    <t>李萌</t>
  </si>
  <si>
    <t xml:space="preserve"> 微信/支付宝扫码自付</t>
  </si>
  <si>
    <t>Wonyong Choi</t>
  </si>
  <si>
    <t>M477K8635</t>
  </si>
  <si>
    <t>美国外籍院士</t>
  </si>
  <si>
    <t xml:space="preserve"> POS机支付</t>
  </si>
  <si>
    <t>A80684012</t>
  </si>
  <si>
    <r>
      <rPr>
        <sz val="11"/>
        <color rgb="FF000000"/>
        <rFont val="宋体"/>
        <charset val="134"/>
        <scheme val="minor"/>
      </rPr>
      <t>萧锦荣</t>
    </r>
    <r>
      <rPr>
        <sz val="11"/>
        <color rgb="FF000000"/>
        <rFont val="宋体"/>
        <charset val="134"/>
        <scheme val="minor"/>
      </rPr>
      <t xml:space="preserve">   </t>
    </r>
  </si>
  <si>
    <t>SIU, KAM WING MICHAEL</t>
  </si>
  <si>
    <r>
      <rPr>
        <sz val="11"/>
        <color rgb="FF000000"/>
        <rFont val="宋体"/>
        <charset val="134"/>
        <scheme val="minor"/>
      </rPr>
      <t>H04254584</t>
    </r>
    <r>
      <rPr>
        <sz val="11"/>
        <color rgb="FF000000"/>
        <rFont val="宋体"/>
        <charset val="134"/>
        <scheme val="minor"/>
      </rPr>
      <t xml:space="preserve"> </t>
    </r>
  </si>
  <si>
    <t>Trevor David Waite</t>
  </si>
  <si>
    <t>RA2015710</t>
  </si>
  <si>
    <t>美国外籍院士，大会付费（备注大会付费，由组委会付房费？）</t>
  </si>
  <si>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POS机支付</t>
    </r>
  </si>
  <si>
    <t>EK0010988</t>
  </si>
  <si>
    <t>订单号/注册号</t>
  </si>
  <si>
    <t>电话</t>
  </si>
  <si>
    <t>预订酒店</t>
  </si>
  <si>
    <t>入住时间</t>
  </si>
  <si>
    <t>邹依霖</t>
  </si>
  <si>
    <t>A座高级双床房</t>
  </si>
  <si>
    <t>需要再加一张床</t>
  </si>
  <si>
    <t>侯德义</t>
  </si>
  <si>
    <t>江门富力万达嘉华酒店（VIP预留）</t>
  </si>
  <si>
    <t>需要酒店开票</t>
  </si>
  <si>
    <r>
      <rPr>
        <sz val="10.5"/>
        <color rgb="FF000000"/>
        <rFont val="宋体"/>
        <charset val="134"/>
        <scheme val="minor"/>
      </rPr>
      <t>申芳霞</t>
    </r>
    <r>
      <rPr>
        <sz val="10.5"/>
        <color rgb="FF000000"/>
        <rFont val="宋体"/>
        <charset val="134"/>
        <scheme val="minor"/>
      </rPr>
      <t> </t>
    </r>
  </si>
  <si>
    <t>豪华大床房(单</t>
  </si>
  <si>
    <t>将入住时间从“11.27-12.1日”改为“11.28-12.2日”</t>
  </si>
  <si>
    <t>已修改</t>
  </si>
  <si>
    <t>乔琰</t>
  </si>
  <si>
    <t>江海智选假日酒店</t>
  </si>
  <si>
    <t>将入住时间从“11.28-12.2日”改为“11.28-12.1日”</t>
  </si>
  <si>
    <t>重复</t>
  </si>
  <si>
    <t>陈洁</t>
  </si>
  <si>
    <t>间维也纳酒店(江门常安路步行街店)</t>
  </si>
  <si>
    <t>将入住时间从“11.28-12.1日”改为“11.28-12.2日”</t>
  </si>
  <si>
    <t xml:space="preserve">周婧     </t>
  </si>
  <si>
    <t>江门新会碧桂园凤悦凤凰酒店</t>
  </si>
  <si>
    <t>2间大床+1间双床</t>
  </si>
  <si>
    <t>11.28日-12-2日</t>
  </si>
  <si>
    <t>预留，自行线下支付</t>
  </si>
  <si>
    <t>谢静</t>
  </si>
  <si>
    <t>北京理工大学</t>
  </si>
  <si>
    <t>王丁一</t>
  </si>
  <si>
    <t>中科院生态环境研究中心</t>
  </si>
  <si>
    <t>4152</t>
  </si>
  <si>
    <t>13621093063</t>
  </si>
  <si>
    <r>
      <rPr>
        <sz val="11"/>
        <color rgb="FF000000"/>
        <rFont val="宋体"/>
        <charset val="134"/>
      </rPr>
      <t>行政大床房（单早）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汉仪书宋二KW"/>
        <charset val="134"/>
      </rPr>
      <t>整间</t>
    </r>
    <r>
      <rPr>
        <sz val="10"/>
        <color rgb="FF000000"/>
        <rFont val="Calibri"/>
        <charset val="134"/>
      </rPr>
      <t>/CNY470.00/</t>
    </r>
    <r>
      <rPr>
        <sz val="10"/>
        <color rgb="FF000000"/>
        <rFont val="汉仪书宋二KW"/>
        <charset val="134"/>
      </rPr>
      <t>天</t>
    </r>
  </si>
  <si>
    <t>万达套房，11.28—2日</t>
  </si>
  <si>
    <t>姜璐</t>
  </si>
  <si>
    <t xml:space="preserve">江门富力万达嘉华酒店（VIP预留） </t>
  </si>
  <si>
    <t>高级双床房（双早）（整间）</t>
  </si>
  <si>
    <t>2025-11-27 2025-12-02</t>
  </si>
  <si>
    <t>跟陈伟芳合住，金额对半，发票分开开，一半为内蒙古大学的发票信息（纳税人识别号：1215000046002920XK）具体见下方，一半为中国科学院生态环境研究中心（纳税人识别号：121000004000122540）
名称：内蒙古大学
纳税人识别号：1215000046002920XK
单位地址：呼和浩特市赛罕区大学西路235号
电话号码：0471-4994142
开户行：中国建设银行股份有限公司呼和浩特赛罕区支行
联行号：105191075085
银行账号：15001706667050001905</t>
  </si>
  <si>
    <t>张建清</t>
  </si>
  <si>
    <t>尊敬的会务组老师，
      你好！因单位财务报账要求，我科室2名参会人员需提前开具注册费和酒店住宿费发票，申请人信息如下：
单位：深圳市疾病预防控制中心，申请人1姓名：张建清，手机号：13501580586，邮箱：969676617@qq.com；
申请人2：彭金铃，13688815730，邮箱：453448942@qq.com。谢谢！</t>
  </si>
  <si>
    <t>我预定了环化大会期间维也纳酒店(江门常安路步行街店) 豪华双床房（双早） 2间3晚（11月28日入住-12月1日离店）。现因行程变动，2间房均需延长一晚至12月2日离店，请帮忙处理，谢谢！
                                    联系方式：陈女士（电话：15373575957）</t>
  </si>
  <si>
    <t>已处理</t>
  </si>
  <si>
    <t>您好，我预定了江门丽宫国际酒店（VIP预留） A座高级大床房（单早） （整间） （2*6晚）
我在网站上申请了退款，但担心退款成功后没有房间了，所以发邮件问一下是否能帮忙直接修改，保留我的订单，将入住日期修改成11月28日，退房日期为12月2日，房间数量修改为1间。谢谢！
史亚利
中国科学院生态环境研究中心
环境化学与生态毒理学国家重点实验室
离子色谱和新型污染物分析研究组
e-mail:shiyali@rcees.ac.cn</t>
  </si>
  <si>
    <t xml:space="preserve">您好，我的订单房间日期选错了，应为11.28入住，12.2日退房。麻烦帮忙进行变更
订单信息见附件。
谢谢。
祝好
芳霞
===============================
申芳霞 博士
卓越百人副教授
能源与动力工程学院
北京航空航天大学
Mobile: (+86) 15210592958
Email: fxshen@buaa.edu.cn
</t>
  </si>
  <si>
    <t>具体信息：杨超 豪华大床房
我原预定的酒店江门富力万达嘉华酒店11月28至12月1日 3晚，请更改至11月29日至11月30日 1晚。</t>
  </si>
  <si>
    <t>不改了，已处理</t>
  </si>
  <si>
    <t xml:space="preserve">大会组委会，您好！
我是中国科学院生态环境研究中心刘稷燕，为参加环化大会，我已经预定住宿并已经缴纳了费用（1500元），缴费记录请见附件。依据目前安排好的行程，我的住宿希望变更为11月28日入住，12月2日离店，住宿4晚，麻烦您帮忙作住宿时间变更，谢谢！
刘稷燕
</t>
  </si>
  <si>
    <t>已修改等付费</t>
  </si>
  <si>
    <t>会务组您好：
       麻烦将我预定的丽宫酒店20251128-20251202的酒店改成11月30号到-12月2号离店两个晚上的大床房（单早）。
      谢谢
      祝好
     罗一丹
     20251110</t>
  </si>
  <si>
    <t>已更改</t>
  </si>
  <si>
    <t xml:space="preserve">您好：
我是郑光洁（个人代表信息 注册号：3922），
我预定了12.27-12.2的“江门富力万达嘉华酒店（VIP预留）“，订单编号21198109，订单信息如附件。
现因行程变更，希望将预订信息更改为：
12.28（入住）-12.30（退房），共2晚
房型及其它信息不变。
请协助变更。谢谢！
祝好，
郑光洁
 </t>
  </si>
  <si>
    <t>会务组老师好，我是西北农林科技大学的贾汉忠，电话15399421323，会议注册号3895。之前预定了   名冠金凯悦酒店（VIP预留酒店）且付费，原计划入住时间11月28日，现需要变更为29日入住，请给予处理。
发自我的手机</t>
  </si>
  <si>
    <t>不听电话</t>
  </si>
  <si>
    <t>尊敬的环化大会工作人员：
您好！
我是冯翠杰，我已预定了江门丽宫国际酒店，11月28日至12月2日的酒店（4个晚上），订单信息如下截图。但是由于行程有变，麻烦您将酒店入住时间修改为11月28日至12月2日，共2个晚上。
请问如何操作，我已支付过费用，如何退掉多支付的部分？
谢谢，盼复。
预祝会议取得圆满成功。</t>
  </si>
  <si>
    <t>您好，
我之前在网上预订了铂顿国际公寓江门蓬江行政服务中心店11.28入住 12.1退房 （详见截图）
现行程有变，11.28入住，11.30日退房。还请您帮助修改。
非常感谢！
宋文静</t>
  </si>
  <si>
    <t>会务老师，
       您好！山东大学薛丽坤老师（个人代表，注册号2653）参加第十三届环境化学大会，已经预定了酒店房间并支付费用（名冠金凯悦酒店（VIP预留），广东省江门蓬江区发展大道188号），原定11月29日入住，12月1日退房，共2个晚上，费用876元已支付，详细信息见附件。由于工作安排有变动，需要改为11月29日入住（入住时间不变），11月30日退房（提前一天退房），特申请变更住宿日期，并烦请原路退回一晚住宿费用。给您带来不便之处敬请谅解！如有问题请联系我，电话18266208096，谢谢！
祝好！
连曦
山东大学环境研究院
0532-58631962，18266208096
lianxi@sdu.edu.cn</t>
  </si>
  <si>
    <t>刘倩</t>
  </si>
  <si>
    <t>将退房时间延长至12月1日，订单编号（21090324）</t>
  </si>
  <si>
    <t>杨欣</t>
  </si>
  <si>
    <t>将入住时间从“11.28-12.1日”改为“11.28-11.30日”</t>
  </si>
  <si>
    <t>林道辉教授想把原订酒店的日期调整到11.28入住-12.1离店。
侯杰想调整到11.28入住-11.30离店.</t>
  </si>
  <si>
    <t>申请人信息
姓名:汪金辉;
手机号:15365346625;
注册号:6343。
发票抬头:上海交通大学
税号: 1210000042500615X0
备注：汪金辉住宿，11.28-12.02</t>
  </si>
  <si>
    <t>要开发票</t>
  </si>
  <si>
    <t>注册人姓名：丁玎，
单位：北京市科学技术研究院城市安全与环境科学研究所
注册人手机号：18810810622
注册号：1999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</si>
</sst>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yyyy/m/d;@"/>
    <numFmt numFmtId="178" formatCode="0.00_);[Red]\(0.00\)"/>
  </numFmts>
  <fonts count="10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666666"/>
      <name val="宋体"/>
      <charset val="134"/>
    </font>
    <font>
      <sz val="9.75"/>
      <color rgb="FF666666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000000"/>
      <name val="Calibri"/>
      <charset val="134"/>
    </font>
    <font>
      <sz val="12"/>
      <color rgb="FF000000"/>
      <name val="SimSun"/>
      <charset val="134"/>
    </font>
    <font>
      <b/>
      <sz val="16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41AEC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2"/>
      <color rgb="FF000000"/>
      <name val="宋体"/>
      <charset val="134"/>
    </font>
    <font>
      <b/>
      <sz val="22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等线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C0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微软雅黑"/>
      <charset val="134"/>
    </font>
    <font>
      <sz val="14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</font>
    <font>
      <sz val="11"/>
      <color rgb="FF000000"/>
      <name val="Microsoft YaHei"/>
      <charset val="134"/>
    </font>
    <font>
      <sz val="11"/>
      <name val="宋体"/>
      <charset val="134"/>
      <scheme val="minor"/>
    </font>
    <font>
      <sz val="11"/>
      <color rgb="FF417FF9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6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8"/>
      <color rgb="FFFF0000"/>
      <name val="宋体"/>
      <charset val="134"/>
    </font>
    <font>
      <sz val="16"/>
      <name val="宋体"/>
      <charset val="134"/>
    </font>
    <font>
      <b/>
      <sz val="16"/>
      <color rgb="FF000000"/>
      <name val="宋体"/>
      <charset val="134"/>
    </font>
    <font>
      <b/>
      <sz val="16"/>
      <color rgb="FFFF0000"/>
      <name val="宋体"/>
      <charset val="134"/>
      <scheme val="minor"/>
    </font>
    <font>
      <b/>
      <sz val="22"/>
      <name val="宋体"/>
      <charset val="134"/>
      <scheme val="minor"/>
    </font>
    <font>
      <b/>
      <sz val="22"/>
      <color rgb="FFFF0000"/>
      <name val="宋体"/>
      <charset val="134"/>
      <scheme val="minor"/>
    </font>
    <font>
      <b/>
      <sz val="16"/>
      <name val="宋体"/>
      <charset val="134"/>
      <scheme val="minor"/>
    </font>
    <font>
      <sz val="16"/>
      <color rgb="FFFF0000"/>
      <name val="宋体"/>
      <charset val="134"/>
    </font>
    <font>
      <b/>
      <sz val="16"/>
      <name val="宋体"/>
      <charset val="134"/>
    </font>
    <font>
      <b/>
      <sz val="14"/>
      <color rgb="FF041AEC"/>
      <name val="宋体"/>
      <charset val="134"/>
      <scheme val="minor"/>
    </font>
    <font>
      <sz val="11"/>
      <name val="宋体"/>
      <charset val="134"/>
    </font>
    <font>
      <sz val="26"/>
      <color rgb="FFFF0000"/>
      <name val="宋体"/>
      <charset val="134"/>
      <scheme val="minor"/>
    </font>
    <font>
      <sz val="20"/>
      <color rgb="FF000000"/>
      <name val="宋体"/>
      <charset val="134"/>
    </font>
    <font>
      <b/>
      <sz val="14"/>
      <color rgb="FFFF0000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417FF9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rgb="FFC00000"/>
      <name val="宋体"/>
      <charset val="134"/>
    </font>
    <font>
      <b/>
      <sz val="14"/>
      <color rgb="FF000000"/>
      <name val="宋体"/>
      <charset val="134"/>
    </font>
    <font>
      <b/>
      <sz val="16"/>
      <color rgb="FFFF0000"/>
      <name val="宋体"/>
      <charset val="134"/>
    </font>
    <font>
      <sz val="14"/>
      <color rgb="FFFF0000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4"/>
      <color rgb="FF417FF9"/>
      <name val="宋体"/>
      <charset val="134"/>
    </font>
    <font>
      <sz val="14"/>
      <color rgb="FF000000"/>
      <name val="宋体"/>
      <charset val="134"/>
      <scheme val="minor"/>
    </font>
    <font>
      <sz val="14"/>
      <color rgb="FF417FF9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theme="1"/>
      <name val="Times New Roman"/>
      <charset val="134"/>
    </font>
    <font>
      <sz val="14"/>
      <color rgb="FF000000"/>
      <name val="Times New Roman"/>
      <charset val="134"/>
    </font>
    <font>
      <b/>
      <sz val="14"/>
      <color theme="4" tint="-0.499984740745262"/>
      <name val="宋体"/>
      <charset val="134"/>
      <scheme val="minor"/>
    </font>
    <font>
      <b/>
      <sz val="14"/>
      <color rgb="FF417FF9"/>
      <name val="Times New Roman"/>
      <charset val="134"/>
    </font>
    <font>
      <sz val="14"/>
      <name val="宋体"/>
      <charset val="134"/>
    </font>
    <font>
      <b/>
      <sz val="14"/>
      <color rgb="FF002060"/>
      <name val="宋体"/>
      <charset val="134"/>
    </font>
    <font>
      <b/>
      <sz val="22"/>
      <color rgb="FFFFC000"/>
      <name val="宋体"/>
      <charset val="134"/>
    </font>
    <font>
      <b/>
      <sz val="22"/>
      <color rgb="FFFFC000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Times New Roman"/>
      <charset val="134"/>
    </font>
    <font>
      <sz val="16"/>
      <color theme="1"/>
      <name val="宋体"/>
      <charset val="134"/>
    </font>
    <font>
      <sz val="16"/>
      <name val="Times New Roman"/>
      <charset val="134"/>
    </font>
    <font>
      <sz val="16"/>
      <color rgb="FFFF0000"/>
      <name val="Times New Roman"/>
      <charset val="134"/>
    </font>
    <font>
      <sz val="18"/>
      <color theme="1"/>
      <name val="宋体"/>
      <charset val="134"/>
      <scheme val="minor"/>
    </font>
    <font>
      <sz val="18"/>
      <color rgb="FF000000"/>
      <name val="宋体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4"/>
      <name val="宋体"/>
      <charset val="134"/>
      <scheme val="minor"/>
    </font>
    <font>
      <b/>
      <sz val="14"/>
      <color rgb="FF041AEC"/>
      <name val="宋体"/>
      <charset val="134"/>
    </font>
    <font>
      <sz val="16"/>
      <color rgb="FF000000"/>
      <name val="Times New Roman"/>
      <charset val="134"/>
    </font>
    <font>
      <sz val="10"/>
      <color rgb="FF000000"/>
      <name val="Calibri"/>
      <charset val="134"/>
    </font>
    <font>
      <sz val="10"/>
      <color rgb="FF000000"/>
      <name val="汉仪书宋二KW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0" fillId="14" borderId="27" applyNumberFormat="0" applyFon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89" fillId="0" borderId="28" applyNumberFormat="0" applyFill="0" applyAlignment="0" applyProtection="0">
      <alignment vertical="center"/>
    </xf>
    <xf numFmtId="0" fontId="90" fillId="0" borderId="29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15" borderId="30" applyNumberFormat="0" applyAlignment="0" applyProtection="0">
      <alignment vertical="center"/>
    </xf>
    <xf numFmtId="0" fontId="92" fillId="8" borderId="31" applyNumberFormat="0" applyAlignment="0" applyProtection="0">
      <alignment vertical="center"/>
    </xf>
    <xf numFmtId="0" fontId="93" fillId="8" borderId="30" applyNumberFormat="0" applyAlignment="0" applyProtection="0">
      <alignment vertical="center"/>
    </xf>
    <xf numFmtId="0" fontId="94" fillId="16" borderId="32" applyNumberFormat="0" applyAlignment="0" applyProtection="0">
      <alignment vertical="center"/>
    </xf>
    <xf numFmtId="0" fontId="95" fillId="0" borderId="33" applyNumberFormat="0" applyFill="0" applyAlignment="0" applyProtection="0">
      <alignment vertical="center"/>
    </xf>
    <xf numFmtId="0" fontId="96" fillId="0" borderId="34" applyNumberFormat="0" applyFill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0" fillId="35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1" fillId="38" borderId="0" applyNumberFormat="0" applyBorder="0" applyAlignment="0" applyProtection="0">
      <alignment vertical="center"/>
    </xf>
    <xf numFmtId="0" fontId="100" fillId="39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2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</cellStyleXfs>
  <cellXfs count="4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7" fillId="0" borderId="0" xfId="0" applyFont="1">
      <alignment vertical="center"/>
    </xf>
    <xf numFmtId="0" fontId="0" fillId="4" borderId="0" xfId="0" applyFill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4" fontId="11" fillId="3" borderId="0" xfId="0" applyNumberFormat="1" applyFont="1" applyFill="1" applyAlignment="1">
      <alignment horizontal="center" vertical="center"/>
    </xf>
    <xf numFmtId="176" fontId="11" fillId="3" borderId="0" xfId="0" applyNumberFormat="1" applyFont="1" applyFill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177" fontId="11" fillId="6" borderId="0" xfId="0" applyNumberFormat="1" applyFont="1" applyFill="1" applyAlignment="1">
      <alignment horizontal="center" vertical="center"/>
    </xf>
    <xf numFmtId="14" fontId="11" fillId="6" borderId="0" xfId="0" applyNumberFormat="1" applyFont="1" applyFill="1" applyAlignment="1">
      <alignment horizontal="center" vertical="center"/>
    </xf>
    <xf numFmtId="176" fontId="11" fillId="6" borderId="0" xfId="0" applyNumberFormat="1" applyFont="1" applyFill="1" applyAlignment="1">
      <alignment horizontal="right" vertical="center"/>
    </xf>
    <xf numFmtId="0" fontId="11" fillId="6" borderId="0" xfId="0" applyFont="1" applyFill="1" applyAlignment="1">
      <alignment horizontal="center" vertical="center" wrapText="1"/>
    </xf>
    <xf numFmtId="0" fontId="12" fillId="0" borderId="0" xfId="0" applyFon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0" fontId="12" fillId="4" borderId="0" xfId="0" applyFont="1" applyFill="1">
      <alignment vertical="center"/>
    </xf>
    <xf numFmtId="14" fontId="0" fillId="4" borderId="0" xfId="0" applyNumberFormat="1" applyFill="1">
      <alignment vertical="center"/>
    </xf>
    <xf numFmtId="4" fontId="0" fillId="4" borderId="0" xfId="0" applyNumberFormat="1" applyFill="1">
      <alignment vertical="center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77" fontId="11" fillId="7" borderId="0" xfId="0" applyNumberFormat="1" applyFont="1" applyFill="1" applyAlignment="1">
      <alignment horizontal="center" vertical="center"/>
    </xf>
    <xf numFmtId="14" fontId="11" fillId="7" borderId="0" xfId="0" applyNumberFormat="1" applyFont="1" applyFill="1" applyAlignment="1">
      <alignment horizontal="center" vertical="center"/>
    </xf>
    <xf numFmtId="176" fontId="11" fillId="7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center" vertical="center" wrapText="1"/>
    </xf>
    <xf numFmtId="0" fontId="14" fillId="0" borderId="0" xfId="0" applyFont="1">
      <alignment vertical="center"/>
    </xf>
    <xf numFmtId="0" fontId="0" fillId="0" borderId="0" xfId="0" applyFont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7" fillId="0" borderId="0" xfId="0" applyFont="1">
      <alignment vertical="center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14" fontId="20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4" fontId="1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1" fillId="0" borderId="0" xfId="0" applyNumberFormat="1" applyFont="1">
      <alignment vertical="center"/>
    </xf>
    <xf numFmtId="0" fontId="1" fillId="0" borderId="0" xfId="0" applyFont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" fillId="5" borderId="0" xfId="0" applyFont="1" applyFill="1">
      <alignment vertical="center"/>
    </xf>
    <xf numFmtId="176" fontId="11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Border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 wrapText="1"/>
    </xf>
    <xf numFmtId="0" fontId="25" fillId="5" borderId="0" xfId="0" applyFont="1" applyFill="1" applyBorder="1" applyAlignment="1">
      <alignment horizontal="center" vertical="center"/>
    </xf>
    <xf numFmtId="177" fontId="1" fillId="5" borderId="0" xfId="0" applyNumberFormat="1" applyFont="1" applyFill="1" applyAlignment="1">
      <alignment horizontal="center" vertical="center"/>
    </xf>
    <xf numFmtId="0" fontId="23" fillId="0" borderId="0" xfId="0" applyFont="1" applyFill="1">
      <alignment vertical="center"/>
    </xf>
    <xf numFmtId="0" fontId="26" fillId="0" borderId="0" xfId="0" applyFont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0" fontId="23" fillId="0" borderId="0" xfId="0" applyFont="1">
      <alignment vertical="center"/>
    </xf>
    <xf numFmtId="0" fontId="27" fillId="0" borderId="1" xfId="0" applyFont="1" applyFill="1" applyBorder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76" fontId="11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0" xfId="0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11" fillId="0" borderId="0" xfId="0" applyNumberFormat="1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4" fontId="0" fillId="0" borderId="0" xfId="0" applyNumberForma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8" fontId="0" fillId="0" borderId="0" xfId="0" applyNumberFormat="1" applyFont="1" applyBorder="1" applyAlignment="1">
      <alignment horizontal="center" vertical="center"/>
    </xf>
    <xf numFmtId="58" fontId="9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7" fillId="0" borderId="0" xfId="0" applyFont="1">
      <alignment vertical="center"/>
    </xf>
    <xf numFmtId="0" fontId="36" fillId="0" borderId="8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9" fillId="0" borderId="0" xfId="0" applyFont="1">
      <alignment vertical="center"/>
    </xf>
    <xf numFmtId="0" fontId="36" fillId="0" borderId="5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43" fillId="0" borderId="15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44" fillId="5" borderId="1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1" fillId="0" borderId="17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49" fontId="33" fillId="0" borderId="14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8" fillId="0" borderId="0" xfId="0" applyFont="1">
      <alignment vertical="center"/>
    </xf>
    <xf numFmtId="0" fontId="40" fillId="0" borderId="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49" fontId="33" fillId="0" borderId="18" xfId="0" applyNumberFormat="1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29" fillId="0" borderId="1" xfId="0" applyFont="1" applyBorder="1">
      <alignment vertical="center"/>
    </xf>
    <xf numFmtId="0" fontId="49" fillId="0" borderId="1" xfId="0" applyFont="1" applyBorder="1">
      <alignment vertical="center"/>
    </xf>
    <xf numFmtId="0" fontId="15" fillId="0" borderId="13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20" xfId="0" applyFont="1" applyBorder="1">
      <alignment vertical="center"/>
    </xf>
    <xf numFmtId="0" fontId="31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0" fontId="4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5" fillId="9" borderId="10" xfId="0" applyFont="1" applyFill="1" applyBorder="1" applyAlignment="1">
      <alignment horizontal="center" vertical="center"/>
    </xf>
    <xf numFmtId="0" fontId="52" fillId="9" borderId="21" xfId="0" applyFont="1" applyFill="1" applyBorder="1" applyAlignment="1">
      <alignment horizontal="center" vertical="center"/>
    </xf>
    <xf numFmtId="0" fontId="25" fillId="9" borderId="2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178" fontId="53" fillId="0" borderId="10" xfId="0" applyNumberFormat="1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 vertical="center" wrapText="1"/>
    </xf>
    <xf numFmtId="0" fontId="25" fillId="9" borderId="22" xfId="0" applyFont="1" applyFill="1" applyBorder="1" applyAlignment="1">
      <alignment horizontal="center" vertical="center"/>
    </xf>
    <xf numFmtId="0" fontId="53" fillId="9" borderId="19" xfId="0" applyFont="1" applyFill="1" applyBorder="1" applyAlignment="1">
      <alignment horizontal="center" vertical="center"/>
    </xf>
    <xf numFmtId="178" fontId="54" fillId="0" borderId="10" xfId="0" applyNumberFormat="1" applyFont="1" applyBorder="1" applyAlignment="1">
      <alignment horizontal="center" vertical="center"/>
    </xf>
    <xf numFmtId="0" fontId="53" fillId="9" borderId="21" xfId="0" applyFont="1" applyFill="1" applyBorder="1" applyAlignment="1">
      <alignment horizontal="center" vertical="center"/>
    </xf>
    <xf numFmtId="0" fontId="52" fillId="9" borderId="22" xfId="0" applyFont="1" applyFill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52" fillId="0" borderId="10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178" fontId="53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3" fillId="0" borderId="19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8" fillId="0" borderId="19" xfId="0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58" fillId="0" borderId="21" xfId="0" applyFont="1" applyBorder="1" applyAlignment="1">
      <alignment horizontal="center" vertical="center"/>
    </xf>
    <xf numFmtId="0" fontId="53" fillId="0" borderId="19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53" fillId="10" borderId="10" xfId="0" applyFont="1" applyFill="1" applyBorder="1" applyAlignment="1">
      <alignment horizontal="center" vertical="center"/>
    </xf>
    <xf numFmtId="178" fontId="53" fillId="10" borderId="10" xfId="0" applyNumberFormat="1" applyFont="1" applyFill="1" applyBorder="1" applyAlignment="1">
      <alignment horizontal="center" vertical="center"/>
    </xf>
    <xf numFmtId="0" fontId="61" fillId="11" borderId="21" xfId="0" applyFont="1" applyFill="1" applyBorder="1" applyAlignment="1">
      <alignment horizontal="center" vertical="center"/>
    </xf>
    <xf numFmtId="0" fontId="53" fillId="10" borderId="19" xfId="0" applyFont="1" applyFill="1" applyBorder="1" applyAlignment="1">
      <alignment horizontal="center" vertical="center"/>
    </xf>
    <xf numFmtId="0" fontId="53" fillId="0" borderId="22" xfId="0" applyFont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178" fontId="61" fillId="0" borderId="10" xfId="0" applyNumberFormat="1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1" fillId="0" borderId="19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63" fillId="0" borderId="10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53" fillId="5" borderId="10" xfId="0" applyFont="1" applyFill="1" applyBorder="1" applyAlignment="1">
      <alignment horizontal="center" vertical="center"/>
    </xf>
    <xf numFmtId="0" fontId="60" fillId="5" borderId="10" xfId="0" applyFont="1" applyFill="1" applyBorder="1" applyAlignment="1">
      <alignment horizontal="center" vertical="center"/>
    </xf>
    <xf numFmtId="0" fontId="25" fillId="12" borderId="10" xfId="0" applyFont="1" applyFill="1" applyBorder="1" applyAlignment="1">
      <alignment horizontal="center" vertical="center"/>
    </xf>
    <xf numFmtId="0" fontId="53" fillId="12" borderId="10" xfId="0" applyFont="1" applyFill="1" applyBorder="1" applyAlignment="1">
      <alignment horizontal="center" vertical="center"/>
    </xf>
    <xf numFmtId="0" fontId="53" fillId="11" borderId="10" xfId="0" applyFont="1" applyFill="1" applyBorder="1" applyAlignment="1">
      <alignment horizontal="center" vertical="center"/>
    </xf>
    <xf numFmtId="178" fontId="53" fillId="11" borderId="10" xfId="0" applyNumberFormat="1" applyFont="1" applyFill="1" applyBorder="1" applyAlignment="1">
      <alignment horizontal="center" vertical="center"/>
    </xf>
    <xf numFmtId="0" fontId="61" fillId="11" borderId="19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60" fillId="11" borderId="10" xfId="0" applyFont="1" applyFill="1" applyBorder="1" applyAlignment="1">
      <alignment horizontal="center" vertical="center"/>
    </xf>
    <xf numFmtId="0" fontId="61" fillId="11" borderId="22" xfId="0" applyFont="1" applyFill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65" fillId="0" borderId="2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53" fillId="3" borderId="10" xfId="0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59" fillId="11" borderId="0" xfId="0" applyFont="1" applyFill="1" applyAlignment="1">
      <alignment horizontal="center" vertical="center"/>
    </xf>
    <xf numFmtId="0" fontId="65" fillId="0" borderId="21" xfId="0" applyFont="1" applyBorder="1" applyAlignment="1">
      <alignment horizontal="center" vertical="center" wrapText="1"/>
    </xf>
    <xf numFmtId="0" fontId="62" fillId="0" borderId="19" xfId="0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178" fontId="61" fillId="0" borderId="19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178" fontId="61" fillId="0" borderId="2" xfId="0" applyNumberFormat="1" applyFont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0" fontId="53" fillId="0" borderId="23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5" fillId="0" borderId="25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66" fillId="11" borderId="1" xfId="0" applyFont="1" applyFill="1" applyBorder="1" applyAlignment="1">
      <alignment horizontal="center" vertical="center"/>
    </xf>
    <xf numFmtId="0" fontId="67" fillId="11" borderId="1" xfId="0" applyFont="1" applyFill="1" applyBorder="1" applyAlignment="1">
      <alignment horizontal="center" vertical="center"/>
    </xf>
    <xf numFmtId="0" fontId="68" fillId="11" borderId="1" xfId="0" applyFont="1" applyFill="1" applyBorder="1" applyAlignment="1">
      <alignment horizontal="center" vertical="center"/>
    </xf>
    <xf numFmtId="0" fontId="69" fillId="11" borderId="5" xfId="0" applyFont="1" applyFill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178" fontId="61" fillId="0" borderId="1" xfId="0" applyNumberFormat="1" applyFont="1" applyBorder="1" applyAlignment="1">
      <alignment horizontal="center" vertical="center"/>
    </xf>
    <xf numFmtId="0" fontId="53" fillId="0" borderId="11" xfId="0" applyFont="1" applyBorder="1">
      <alignment vertical="center"/>
    </xf>
    <xf numFmtId="0" fontId="62" fillId="0" borderId="6" xfId="0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178" fontId="61" fillId="0" borderId="6" xfId="0" applyNumberFormat="1" applyFont="1" applyBorder="1" applyAlignment="1">
      <alignment horizontal="center" vertical="center"/>
    </xf>
    <xf numFmtId="0" fontId="53" fillId="0" borderId="24" xfId="0" applyFont="1" applyBorder="1">
      <alignment vertical="center"/>
    </xf>
    <xf numFmtId="0" fontId="25" fillId="13" borderId="19" xfId="0" applyFont="1" applyFill="1" applyBorder="1" applyAlignment="1">
      <alignment horizontal="center" vertical="center"/>
    </xf>
    <xf numFmtId="0" fontId="71" fillId="13" borderId="22" xfId="0" applyFont="1" applyFill="1" applyBorder="1" applyAlignment="1">
      <alignment horizontal="center" vertical="center"/>
    </xf>
    <xf numFmtId="0" fontId="54" fillId="13" borderId="22" xfId="0" applyFont="1" applyFill="1" applyBorder="1" applyAlignment="1">
      <alignment horizontal="center" vertical="center"/>
    </xf>
    <xf numFmtId="178" fontId="61" fillId="13" borderId="22" xfId="0" applyNumberFormat="1" applyFont="1" applyFill="1" applyBorder="1" applyAlignment="1">
      <alignment horizontal="center" vertical="center"/>
    </xf>
    <xf numFmtId="0" fontId="61" fillId="13" borderId="19" xfId="0" applyFont="1" applyFill="1" applyBorder="1" applyAlignment="1">
      <alignment horizontal="center" vertical="center" wrapText="1"/>
    </xf>
    <xf numFmtId="0" fontId="42" fillId="13" borderId="0" xfId="0" applyFont="1" applyFill="1" applyAlignment="1">
      <alignment horizontal="center" vertical="center" wrapText="1"/>
    </xf>
    <xf numFmtId="0" fontId="25" fillId="13" borderId="21" xfId="0" applyFont="1" applyFill="1" applyBorder="1" applyAlignment="1">
      <alignment horizontal="center" vertical="center"/>
    </xf>
    <xf numFmtId="0" fontId="71" fillId="13" borderId="10" xfId="0" applyFont="1" applyFill="1" applyBorder="1" applyAlignment="1">
      <alignment horizontal="center" vertical="center"/>
    </xf>
    <xf numFmtId="0" fontId="54" fillId="13" borderId="10" xfId="0" applyFont="1" applyFill="1" applyBorder="1" applyAlignment="1">
      <alignment horizontal="center" vertical="center"/>
    </xf>
    <xf numFmtId="178" fontId="61" fillId="13" borderId="10" xfId="0" applyNumberFormat="1" applyFont="1" applyFill="1" applyBorder="1" applyAlignment="1">
      <alignment horizontal="center" vertical="center"/>
    </xf>
    <xf numFmtId="0" fontId="61" fillId="13" borderId="21" xfId="0" applyFont="1" applyFill="1" applyBorder="1" applyAlignment="1">
      <alignment horizontal="center" vertical="center" wrapText="1"/>
    </xf>
    <xf numFmtId="0" fontId="25" fillId="13" borderId="22" xfId="0" applyFont="1" applyFill="1" applyBorder="1" applyAlignment="1">
      <alignment horizontal="center" vertical="center"/>
    </xf>
    <xf numFmtId="0" fontId="62" fillId="13" borderId="10" xfId="0" applyFont="1" applyFill="1" applyBorder="1" applyAlignment="1">
      <alignment horizontal="center" vertical="center"/>
    </xf>
    <xf numFmtId="0" fontId="55" fillId="13" borderId="10" xfId="0" applyFont="1" applyFill="1" applyBorder="1" applyAlignment="1">
      <alignment horizontal="center" vertical="center"/>
    </xf>
    <xf numFmtId="0" fontId="61" fillId="13" borderId="22" xfId="0" applyFont="1" applyFill="1" applyBorder="1" applyAlignment="1">
      <alignment horizontal="center" vertical="center" wrapText="1"/>
    </xf>
    <xf numFmtId="0" fontId="72" fillId="0" borderId="10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4" fillId="0" borderId="10" xfId="0" applyFont="1" applyBorder="1" applyAlignment="1">
      <alignment horizontal="center" vertical="center"/>
    </xf>
    <xf numFmtId="178" fontId="74" fillId="0" borderId="10" xfId="0" applyNumberFormat="1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5" fillId="0" borderId="0" xfId="0" applyFont="1">
      <alignment vertical="center"/>
    </xf>
    <xf numFmtId="0" fontId="75" fillId="0" borderId="0" xfId="0" applyFont="1" applyAlignment="1">
      <alignment horizontal="center" vertical="center"/>
    </xf>
    <xf numFmtId="0" fontId="52" fillId="5" borderId="0" xfId="0" applyFont="1" applyFill="1" applyAlignment="1">
      <alignment horizontal="center" vertical="center"/>
    </xf>
    <xf numFmtId="0" fontId="56" fillId="5" borderId="0" xfId="0" applyFont="1" applyFill="1" applyAlignment="1">
      <alignment horizontal="center" vertical="center"/>
    </xf>
    <xf numFmtId="178" fontId="75" fillId="0" borderId="0" xfId="0" applyNumberFormat="1" applyFont="1">
      <alignment vertical="center"/>
    </xf>
    <xf numFmtId="0" fontId="65" fillId="13" borderId="0" xfId="0" applyFont="1" applyFill="1" applyAlignment="1">
      <alignment horizontal="center" vertical="center"/>
    </xf>
    <xf numFmtId="0" fontId="56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42" fillId="5" borderId="0" xfId="0" applyFont="1" applyFill="1">
      <alignment vertical="center"/>
    </xf>
    <xf numFmtId="0" fontId="41" fillId="0" borderId="0" xfId="0" applyFont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46" fillId="0" borderId="10" xfId="0" applyFont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7" fillId="0" borderId="10" xfId="0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79" fillId="0" borderId="10" xfId="0" applyFont="1" applyBorder="1" applyAlignment="1">
      <alignment horizontal="center" vertical="center"/>
    </xf>
    <xf numFmtId="0" fontId="38" fillId="5" borderId="10" xfId="0" applyFont="1" applyFill="1" applyBorder="1" applyAlignment="1">
      <alignment horizontal="center" vertical="center"/>
    </xf>
    <xf numFmtId="0" fontId="80" fillId="0" borderId="0" xfId="0" applyFo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75" fillId="0" borderId="10" xfId="0" applyFont="1" applyBorder="1" applyAlignment="1">
      <alignment horizontal="center" vertical="center" wrapText="1"/>
    </xf>
    <xf numFmtId="0" fontId="46" fillId="0" borderId="0" xfId="0" applyFont="1">
      <alignment vertical="center"/>
    </xf>
    <xf numFmtId="0" fontId="14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75" fillId="0" borderId="10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81" fillId="5" borderId="0" xfId="0" applyFont="1" applyFill="1">
      <alignment vertical="center"/>
    </xf>
    <xf numFmtId="0" fontId="82" fillId="5" borderId="0" xfId="0" applyFont="1" applyFill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75" fillId="0" borderId="0" xfId="0" applyFont="1" applyBorder="1" applyAlignment="1">
      <alignment horizontal="center" vertical="center" wrapText="1"/>
    </xf>
    <xf numFmtId="0" fontId="80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 wrapText="1"/>
    </xf>
    <xf numFmtId="0" fontId="8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41A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www.wps.cn/officeDocument/2020/cellImage" Target="cellimag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9525</xdr:colOff>
      <xdr:row>21</xdr:row>
      <xdr:rowOff>123825</xdr:rowOff>
    </xdr:to>
    <xdr:pic>
      <xdr:nvPicPr>
        <xdr:cNvPr id="2" name="ID_06507F065DEA4E858E4DC8F8E87C7C63" descr="post_object_image_3292980083"/>
        <xdr:cNvPicPr/>
      </xdr:nvPicPr>
      <xdr:blipFill>
        <a:blip r:embed="rId1"/>
        <a:stretch>
          <a:fillRect/>
        </a:stretch>
      </xdr:blipFill>
      <xdr:spPr>
        <a:xfrm>
          <a:off x="0" y="0"/>
          <a:ext cx="4810125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314325</xdr:colOff>
      <xdr:row>22</xdr:row>
      <xdr:rowOff>104775</xdr:rowOff>
    </xdr:to>
    <xdr:pic>
      <xdr:nvPicPr>
        <xdr:cNvPr id="4" name="ID_1D1D1CFD776343ACAA1454DE8116F2F3" descr="post_object_image_3052258027"/>
        <xdr:cNvPicPr/>
      </xdr:nvPicPr>
      <xdr:blipFill>
        <a:blip r:embed="rId2"/>
        <a:stretch>
          <a:fillRect/>
        </a:stretch>
      </xdr:blipFill>
      <xdr:spPr>
        <a:xfrm>
          <a:off x="0" y="0"/>
          <a:ext cx="7858125" cy="3876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590550</xdr:colOff>
      <xdr:row>8</xdr:row>
      <xdr:rowOff>57150</xdr:rowOff>
    </xdr:to>
    <xdr:pic>
      <xdr:nvPicPr>
        <xdr:cNvPr id="3" name="ID_8318A49599604442A361CFF80441F9A9" descr="post_object_image_3409079759"/>
        <xdr:cNvPicPr/>
      </xdr:nvPicPr>
      <xdr:blipFill>
        <a:blip r:embed="rId3"/>
        <a:stretch>
          <a:fillRect/>
        </a:stretch>
      </xdr:blipFill>
      <xdr:spPr>
        <a:xfrm>
          <a:off x="0" y="0"/>
          <a:ext cx="60769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500380</xdr:colOff>
      <xdr:row>27</xdr:row>
      <xdr:rowOff>142875</xdr:rowOff>
    </xdr:to>
    <xdr:pic>
      <xdr:nvPicPr>
        <xdr:cNvPr id="5" name="ID_D27DDDC814D54421A08C71255BB15535" descr="post_object_image_2530754563"/>
        <xdr:cNvPicPr/>
      </xdr:nvPicPr>
      <xdr:blipFill>
        <a:blip r:embed="rId4"/>
        <a:stretch>
          <a:fillRect/>
        </a:stretch>
      </xdr:blipFill>
      <xdr:spPr>
        <a:xfrm>
          <a:off x="0" y="0"/>
          <a:ext cx="5300980" cy="477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pane ySplit="2" topLeftCell="A3" activePane="bottomLeft" state="frozen"/>
      <selection/>
      <selection pane="bottomLeft" activeCell="H33" sqref="A1:H33"/>
    </sheetView>
  </sheetViews>
  <sheetFormatPr defaultColWidth="9" defaultRowHeight="36.75" customHeight="1" outlineLevelCol="7"/>
  <cols>
    <col min="2" max="2" width="48.5" customWidth="1"/>
    <col min="3" max="3" width="23.25" customWidth="1"/>
    <col min="4" max="4" width="16" customWidth="1"/>
    <col min="5" max="5" width="12.75" customWidth="1"/>
    <col min="6" max="6" width="14.375" customWidth="1"/>
    <col min="8" max="8" width="23.375" style="1" customWidth="1"/>
  </cols>
  <sheetData>
    <row r="1" customHeight="1" spans="1:8">
      <c r="A1" s="245" t="s">
        <v>0</v>
      </c>
      <c r="B1" s="245"/>
      <c r="C1" s="245"/>
      <c r="D1" s="245"/>
      <c r="E1" s="245"/>
      <c r="F1" s="245"/>
    </row>
    <row r="2" customHeight="1" spans="1:8">
      <c r="A2" s="381" t="s">
        <v>1</v>
      </c>
      <c r="B2" s="382" t="s">
        <v>2</v>
      </c>
      <c r="C2" s="382" t="s">
        <v>3</v>
      </c>
      <c r="D2" s="382" t="s">
        <v>4</v>
      </c>
      <c r="E2" s="383" t="s">
        <v>5</v>
      </c>
      <c r="F2" s="383" t="s">
        <v>6</v>
      </c>
      <c r="H2" s="384" t="s">
        <v>7</v>
      </c>
    </row>
    <row r="3" customHeight="1" spans="1:8">
      <c r="A3" s="385">
        <v>1</v>
      </c>
      <c r="B3" s="386" t="s">
        <v>8</v>
      </c>
      <c r="C3" s="386">
        <v>290</v>
      </c>
      <c r="D3" s="386">
        <v>190</v>
      </c>
      <c r="E3" s="387">
        <f>贵宾酒店!J5+贵宾酒店!I25+贵宾酒店!J25</f>
        <v>159</v>
      </c>
      <c r="F3" s="387">
        <v>47</v>
      </c>
      <c r="G3" s="388"/>
      <c r="H3" s="389">
        <v>280</v>
      </c>
    </row>
    <row r="4" customHeight="1" spans="1:8">
      <c r="A4" s="385">
        <v>2</v>
      </c>
      <c r="B4" s="386" t="s">
        <v>9</v>
      </c>
      <c r="C4" s="386">
        <v>516</v>
      </c>
      <c r="D4" s="386">
        <v>304</v>
      </c>
      <c r="E4" s="387">
        <f>贵宾酒店!I44+贵宾酒店!J44+贵宾酒店!J8</f>
        <v>248</v>
      </c>
      <c r="F4" s="387">
        <f>D4-E4</f>
        <v>56</v>
      </c>
      <c r="G4" s="388"/>
      <c r="H4" s="389">
        <v>321</v>
      </c>
    </row>
    <row r="5" customHeight="1" spans="1:8">
      <c r="A5" s="385">
        <v>3</v>
      </c>
      <c r="B5" s="386" t="s">
        <v>10</v>
      </c>
      <c r="C5" s="386">
        <v>326</v>
      </c>
      <c r="D5" s="386">
        <v>252</v>
      </c>
      <c r="E5" s="387">
        <f>贵宾酒店!J6+贵宾酒店!J7+贵宾酒店!I34+贵宾酒店!J34</f>
        <v>215</v>
      </c>
      <c r="F5" s="387">
        <f t="shared" ref="F5:F32" si="0">D5-E5</f>
        <v>37</v>
      </c>
      <c r="G5" s="388"/>
      <c r="H5" s="389">
        <v>290</v>
      </c>
    </row>
    <row r="6" customHeight="1" spans="1:8">
      <c r="A6" s="385">
        <v>4</v>
      </c>
      <c r="B6" s="386" t="s">
        <v>11</v>
      </c>
      <c r="C6" s="386">
        <v>335</v>
      </c>
      <c r="D6" s="386">
        <v>288</v>
      </c>
      <c r="E6" s="387">
        <v>280</v>
      </c>
      <c r="F6" s="387">
        <v>8</v>
      </c>
      <c r="G6" s="388" t="s">
        <v>12</v>
      </c>
      <c r="H6" s="390">
        <v>392</v>
      </c>
    </row>
    <row r="7" customHeight="1" spans="1:8">
      <c r="A7" s="385">
        <v>5</v>
      </c>
      <c r="B7" s="386" t="s">
        <v>13</v>
      </c>
      <c r="C7" s="386">
        <v>380</v>
      </c>
      <c r="D7" s="386">
        <v>203</v>
      </c>
      <c r="E7" s="387">
        <f>贵宾酒店!I58+贵宾酒店!J58</f>
        <v>55</v>
      </c>
      <c r="F7" s="387">
        <v>165</v>
      </c>
      <c r="G7" s="388"/>
      <c r="H7" s="389">
        <v>228</v>
      </c>
    </row>
    <row r="8" customHeight="1" spans="1:8">
      <c r="A8" s="385">
        <v>6</v>
      </c>
      <c r="B8" s="246" t="s">
        <v>14</v>
      </c>
      <c r="C8" s="386">
        <v>374</v>
      </c>
      <c r="D8" s="386">
        <v>202</v>
      </c>
      <c r="E8" s="387">
        <f>贵宾酒店!I62+贵宾酒店!J62</f>
        <v>42</v>
      </c>
      <c r="F8" s="387">
        <f t="shared" si="0"/>
        <v>160</v>
      </c>
      <c r="G8" s="388"/>
      <c r="H8" s="389">
        <v>55</v>
      </c>
    </row>
    <row r="9" customHeight="1" spans="1:8">
      <c r="A9" s="385">
        <v>7</v>
      </c>
      <c r="B9" s="386" t="s">
        <v>15</v>
      </c>
      <c r="C9" s="386">
        <v>284</v>
      </c>
      <c r="D9" s="386">
        <v>100</v>
      </c>
      <c r="E9" s="387">
        <f>第一批上线!N4+第一批上线!O4</f>
        <v>55</v>
      </c>
      <c r="F9" s="387">
        <f t="shared" si="0"/>
        <v>45</v>
      </c>
      <c r="G9" s="388"/>
      <c r="H9" s="391">
        <v>102</v>
      </c>
    </row>
    <row r="10" customHeight="1" spans="1:8">
      <c r="A10" s="385">
        <v>8</v>
      </c>
      <c r="B10" s="387" t="s">
        <v>16</v>
      </c>
      <c r="C10" s="387">
        <v>218</v>
      </c>
      <c r="D10" s="387">
        <v>184</v>
      </c>
      <c r="E10" s="387">
        <f>第一批上线!I5+第一批上线!J5+第一批上线!N5+第一批上线!O5</f>
        <v>184</v>
      </c>
      <c r="F10" s="387">
        <f t="shared" si="0"/>
        <v>0</v>
      </c>
      <c r="G10" s="388" t="s">
        <v>12</v>
      </c>
      <c r="H10" s="391">
        <v>187</v>
      </c>
    </row>
    <row r="11" customHeight="1" spans="1:8">
      <c r="A11" s="385">
        <v>9</v>
      </c>
      <c r="B11" s="386" t="s">
        <v>17</v>
      </c>
      <c r="C11" s="386">
        <v>90</v>
      </c>
      <c r="D11" s="386">
        <v>60</v>
      </c>
      <c r="E11" s="387">
        <f>第一批上线!I6+第一批上线!I7+第一批上线!N6+第一批上线!N7</f>
        <v>60</v>
      </c>
      <c r="F11" s="387">
        <f t="shared" si="0"/>
        <v>0</v>
      </c>
      <c r="G11" s="388" t="s">
        <v>12</v>
      </c>
      <c r="H11" s="391">
        <v>78</v>
      </c>
    </row>
    <row r="12" customHeight="1" spans="1:8">
      <c r="A12" s="385">
        <v>10</v>
      </c>
      <c r="B12" s="386" t="s">
        <v>18</v>
      </c>
      <c r="C12" s="386">
        <v>87</v>
      </c>
      <c r="D12" s="386">
        <v>36</v>
      </c>
      <c r="E12" s="387">
        <f>第一批上线!I8+第一批上线!N8+第一批上线!N9</f>
        <v>36</v>
      </c>
      <c r="F12" s="387">
        <f t="shared" si="0"/>
        <v>0</v>
      </c>
      <c r="G12" s="388" t="s">
        <v>12</v>
      </c>
      <c r="H12" s="391">
        <v>52</v>
      </c>
    </row>
    <row r="13" customHeight="1" spans="1:8">
      <c r="A13" s="385">
        <v>11</v>
      </c>
      <c r="B13" s="386" t="s">
        <v>19</v>
      </c>
      <c r="C13" s="386">
        <v>60</v>
      </c>
      <c r="D13" s="386">
        <v>60</v>
      </c>
      <c r="E13" s="387">
        <f>第一批上线!I10+第一批上线!N10</f>
        <v>60</v>
      </c>
      <c r="F13" s="387">
        <f t="shared" si="0"/>
        <v>0</v>
      </c>
      <c r="G13" s="388" t="s">
        <v>12</v>
      </c>
      <c r="H13" s="391">
        <v>80</v>
      </c>
    </row>
    <row r="14" customHeight="1" spans="1:8">
      <c r="A14" s="385">
        <v>12</v>
      </c>
      <c r="B14" s="386" t="s">
        <v>20</v>
      </c>
      <c r="C14" s="386">
        <v>60</v>
      </c>
      <c r="D14" s="386">
        <v>50</v>
      </c>
      <c r="E14" s="387">
        <f>第一批上线!I11+第一批上线!N11</f>
        <v>49</v>
      </c>
      <c r="F14" s="387">
        <f t="shared" si="0"/>
        <v>1</v>
      </c>
      <c r="G14" s="388" t="s">
        <v>12</v>
      </c>
      <c r="H14" s="391">
        <v>68</v>
      </c>
    </row>
    <row r="15" customHeight="1" spans="1:8">
      <c r="A15" s="385">
        <v>13</v>
      </c>
      <c r="B15" s="386" t="s">
        <v>21</v>
      </c>
      <c r="C15" s="386">
        <v>193</v>
      </c>
      <c r="D15" s="386">
        <v>125</v>
      </c>
      <c r="E15" s="387">
        <v>125</v>
      </c>
      <c r="F15" s="387">
        <f t="shared" si="0"/>
        <v>0</v>
      </c>
      <c r="G15" s="388" t="s">
        <v>12</v>
      </c>
      <c r="H15" s="391">
        <v>166</v>
      </c>
    </row>
    <row r="16" customHeight="1" spans="1:8">
      <c r="A16" s="385">
        <v>14</v>
      </c>
      <c r="B16" s="386" t="s">
        <v>22</v>
      </c>
      <c r="C16" s="386">
        <v>131</v>
      </c>
      <c r="D16" s="386">
        <v>47</v>
      </c>
      <c r="E16" s="387">
        <f>第一批上线!I13+第一批上线!N13</f>
        <v>47</v>
      </c>
      <c r="F16" s="387">
        <f t="shared" si="0"/>
        <v>0</v>
      </c>
      <c r="G16" s="388" t="s">
        <v>12</v>
      </c>
      <c r="H16" s="391">
        <v>62</v>
      </c>
    </row>
    <row r="17" customHeight="1" spans="1:8">
      <c r="A17" s="385">
        <v>15</v>
      </c>
      <c r="B17" s="386" t="s">
        <v>23</v>
      </c>
      <c r="C17" s="386">
        <v>128</v>
      </c>
      <c r="D17" s="386">
        <v>75</v>
      </c>
      <c r="E17" s="387">
        <f>第一批上线!I14+第一批上线!N14</f>
        <v>75</v>
      </c>
      <c r="F17" s="387">
        <f t="shared" si="0"/>
        <v>0</v>
      </c>
      <c r="G17" s="388" t="s">
        <v>12</v>
      </c>
      <c r="H17" s="391">
        <v>65</v>
      </c>
    </row>
    <row r="18" customHeight="1" spans="1:8">
      <c r="A18" s="385">
        <v>16</v>
      </c>
      <c r="B18" s="386" t="s">
        <v>24</v>
      </c>
      <c r="C18" s="386">
        <v>113</v>
      </c>
      <c r="D18" s="386">
        <v>62</v>
      </c>
      <c r="E18" s="387">
        <f>第一批上线!I15+第一批上线!N15+第一批上线!I16</f>
        <v>62</v>
      </c>
      <c r="F18" s="387">
        <f t="shared" si="0"/>
        <v>0</v>
      </c>
      <c r="G18" s="388" t="s">
        <v>12</v>
      </c>
      <c r="H18" s="391">
        <v>92</v>
      </c>
    </row>
    <row r="19" customHeight="1" spans="1:8">
      <c r="A19" s="385">
        <v>17</v>
      </c>
      <c r="B19" s="386" t="s">
        <v>25</v>
      </c>
      <c r="C19" s="386">
        <v>166</v>
      </c>
      <c r="D19" s="386">
        <v>110</v>
      </c>
      <c r="E19" s="387">
        <f>第二批上线!I5+第二批上线!J5+第二批上线!N5+第二批上线!O5</f>
        <v>99</v>
      </c>
      <c r="F19" s="387">
        <f t="shared" si="0"/>
        <v>11</v>
      </c>
      <c r="G19" s="388" t="s">
        <v>12</v>
      </c>
      <c r="H19" s="391">
        <v>156</v>
      </c>
    </row>
    <row r="20" ht="30.75" customHeight="1" spans="1:8">
      <c r="A20" s="385">
        <v>18</v>
      </c>
      <c r="B20" s="386" t="s">
        <v>26</v>
      </c>
      <c r="C20" s="386">
        <v>88</v>
      </c>
      <c r="D20" s="386">
        <v>25</v>
      </c>
      <c r="E20" s="387">
        <f>第二批上线!I6+第二批上线!J6+第二批上线!N6+第二批上线!O6</f>
        <v>19</v>
      </c>
      <c r="F20" s="387">
        <f t="shared" si="0"/>
        <v>6</v>
      </c>
      <c r="G20" s="388" t="s">
        <v>12</v>
      </c>
      <c r="H20" s="391">
        <v>30</v>
      </c>
    </row>
    <row r="21" ht="29.25" customHeight="1" spans="1:8">
      <c r="A21" s="385">
        <v>19</v>
      </c>
      <c r="B21" s="386" t="s">
        <v>27</v>
      </c>
      <c r="C21" s="386">
        <v>80</v>
      </c>
      <c r="D21" s="386">
        <v>30</v>
      </c>
      <c r="E21" s="387">
        <f>第二批上线!I7+第二批上线!N7</f>
        <v>30</v>
      </c>
      <c r="F21" s="387">
        <f t="shared" si="0"/>
        <v>0</v>
      </c>
      <c r="G21" s="388" t="s">
        <v>12</v>
      </c>
      <c r="H21" s="391">
        <v>35</v>
      </c>
    </row>
    <row r="22" ht="29.25" customHeight="1" spans="1:8">
      <c r="A22" s="385">
        <v>20</v>
      </c>
      <c r="B22" s="386" t="s">
        <v>28</v>
      </c>
      <c r="C22" s="386">
        <v>151</v>
      </c>
      <c r="D22" s="386">
        <v>100</v>
      </c>
      <c r="E22" s="387">
        <f>第二批上线!I8+第二批上线!J8+第二批上线!N8+第二批上线!O8</f>
        <v>100</v>
      </c>
      <c r="F22" s="387">
        <f t="shared" si="0"/>
        <v>0</v>
      </c>
      <c r="G22" s="388" t="s">
        <v>12</v>
      </c>
      <c r="H22" s="391">
        <v>150</v>
      </c>
    </row>
    <row r="23" ht="32.25" customHeight="1" spans="1:8">
      <c r="A23" s="385">
        <v>21</v>
      </c>
      <c r="B23" s="386" t="s">
        <v>29</v>
      </c>
      <c r="C23" s="386">
        <v>116</v>
      </c>
      <c r="D23" s="386">
        <v>70</v>
      </c>
      <c r="E23" s="387">
        <f>第二批上线!I9+第二批上线!J9+第二批上线!N9+第二批上线!O9</f>
        <v>61</v>
      </c>
      <c r="F23" s="387">
        <f t="shared" si="0"/>
        <v>9</v>
      </c>
      <c r="G23" s="388" t="s">
        <v>12</v>
      </c>
      <c r="H23" s="391">
        <v>97</v>
      </c>
    </row>
    <row r="24" ht="29.25" customHeight="1" spans="1:8">
      <c r="A24" s="385">
        <v>22</v>
      </c>
      <c r="B24" s="392" t="s">
        <v>30</v>
      </c>
      <c r="C24" s="392">
        <v>70</v>
      </c>
      <c r="D24" s="392">
        <v>70</v>
      </c>
      <c r="E24" s="393">
        <f>第二批上线!N14+第二批上线!I14</f>
        <v>43</v>
      </c>
      <c r="F24" s="393">
        <f t="shared" si="0"/>
        <v>27</v>
      </c>
      <c r="G24" s="388"/>
      <c r="H24" s="391">
        <v>59</v>
      </c>
    </row>
    <row r="25" ht="26.25" customHeight="1" spans="1:8">
      <c r="A25" s="385">
        <v>23</v>
      </c>
      <c r="B25" s="386" t="s">
        <v>31</v>
      </c>
      <c r="C25" s="386">
        <v>69</v>
      </c>
      <c r="D25" s="386">
        <v>46</v>
      </c>
      <c r="E25" s="387">
        <f>第二批上线!I10+第二批上线!N10+第二批上线!O10</f>
        <v>12</v>
      </c>
      <c r="F25" s="387">
        <f t="shared" si="0"/>
        <v>34</v>
      </c>
      <c r="G25" s="388"/>
      <c r="H25" s="391">
        <v>16</v>
      </c>
    </row>
    <row r="26" customHeight="1" spans="1:8">
      <c r="A26" s="385">
        <v>24</v>
      </c>
      <c r="B26" s="386" t="s">
        <v>32</v>
      </c>
      <c r="C26" s="386">
        <v>61</v>
      </c>
      <c r="D26" s="386">
        <v>38</v>
      </c>
      <c r="E26" s="387">
        <f>第二批上线!I11+第二批上线!J11+第二批上线!N11+第二批上线!O11</f>
        <v>38</v>
      </c>
      <c r="F26" s="387">
        <f t="shared" si="0"/>
        <v>0</v>
      </c>
      <c r="G26" s="388" t="s">
        <v>12</v>
      </c>
      <c r="H26" s="391">
        <v>38</v>
      </c>
    </row>
    <row r="27" customHeight="1" spans="1:8">
      <c r="A27" s="385">
        <v>25</v>
      </c>
      <c r="B27" s="386" t="s">
        <v>33</v>
      </c>
      <c r="C27" s="386">
        <v>82</v>
      </c>
      <c r="D27" s="386">
        <v>54</v>
      </c>
      <c r="E27" s="387">
        <f>第二批上线!I12+第二批上线!J12+第二批上线!N12+第二批上线!O12</f>
        <v>23</v>
      </c>
      <c r="F27" s="387">
        <f t="shared" si="0"/>
        <v>31</v>
      </c>
      <c r="G27" s="388"/>
      <c r="H27" s="391">
        <v>29</v>
      </c>
    </row>
    <row r="28" customHeight="1" spans="1:8">
      <c r="A28" s="385">
        <v>26</v>
      </c>
      <c r="B28" s="386" t="s">
        <v>34</v>
      </c>
      <c r="C28" s="386">
        <v>136</v>
      </c>
      <c r="D28" s="386">
        <v>120</v>
      </c>
      <c r="E28" s="387">
        <v>120</v>
      </c>
      <c r="F28" s="387">
        <f t="shared" si="0"/>
        <v>0</v>
      </c>
      <c r="G28" s="388" t="s">
        <v>12</v>
      </c>
      <c r="H28" s="391">
        <v>120</v>
      </c>
    </row>
    <row r="29" customHeight="1" spans="1:8">
      <c r="A29" s="385">
        <v>27</v>
      </c>
      <c r="B29" s="386" t="s">
        <v>35</v>
      </c>
      <c r="C29" s="386"/>
      <c r="D29" s="386">
        <v>40</v>
      </c>
      <c r="E29" s="386">
        <v>0</v>
      </c>
      <c r="F29" s="386">
        <f t="shared" si="0"/>
        <v>40</v>
      </c>
      <c r="G29" s="388"/>
      <c r="H29" s="391">
        <v>0</v>
      </c>
    </row>
    <row r="30" customHeight="1" spans="1:8">
      <c r="A30" s="385">
        <v>28</v>
      </c>
      <c r="B30" s="386" t="s">
        <v>36</v>
      </c>
      <c r="C30" s="386"/>
      <c r="D30" s="386">
        <v>40</v>
      </c>
      <c r="E30" s="386">
        <v>1</v>
      </c>
      <c r="F30" s="386">
        <f t="shared" si="0"/>
        <v>39</v>
      </c>
      <c r="H30" s="1">
        <v>0</v>
      </c>
    </row>
    <row r="31" customHeight="1" spans="1:8">
      <c r="A31" s="385">
        <v>29</v>
      </c>
      <c r="B31" s="386" t="s">
        <v>37</v>
      </c>
      <c r="C31" s="386"/>
      <c r="D31" s="386">
        <v>40</v>
      </c>
      <c r="E31" s="386">
        <v>1</v>
      </c>
      <c r="F31" s="386">
        <f t="shared" si="0"/>
        <v>39</v>
      </c>
      <c r="H31" s="1">
        <v>0</v>
      </c>
    </row>
    <row r="32" customHeight="1" spans="1:8">
      <c r="A32" s="385">
        <v>30</v>
      </c>
      <c r="B32" s="246" t="s">
        <v>38</v>
      </c>
      <c r="C32" s="386"/>
      <c r="D32" s="386">
        <v>45</v>
      </c>
      <c r="E32" s="386">
        <v>1</v>
      </c>
      <c r="F32" s="386">
        <f t="shared" si="0"/>
        <v>44</v>
      </c>
      <c r="H32" s="1">
        <v>0</v>
      </c>
    </row>
    <row r="33" customHeight="1" spans="1:8">
      <c r="A33" s="394"/>
      <c r="B33" s="395" t="s">
        <v>39</v>
      </c>
      <c r="C33" s="396"/>
      <c r="D33" s="396">
        <f t="shared" ref="D33:F33" si="1">SUM(D3:D28)</f>
        <v>2901</v>
      </c>
      <c r="E33" s="396">
        <f t="shared" si="1"/>
        <v>2297</v>
      </c>
      <c r="F33" s="396">
        <f t="shared" si="1"/>
        <v>637</v>
      </c>
      <c r="H33" s="1">
        <f>SUM(H3:H32)</f>
        <v>3248</v>
      </c>
    </row>
    <row r="34" customHeight="1" spans="1:8">
      <c r="A34" s="397"/>
      <c r="B34" s="398"/>
      <c r="C34" s="398"/>
      <c r="D34" s="398"/>
      <c r="E34" s="399"/>
      <c r="F34" s="399"/>
      <c r="G34" s="388"/>
    </row>
    <row r="35" s="380" customFormat="1" customHeight="1" spans="1:8">
      <c r="A35" s="400"/>
      <c r="B35" s="400"/>
      <c r="C35" s="401"/>
      <c r="D35" s="401"/>
      <c r="E35" s="401"/>
      <c r="F35" s="401"/>
      <c r="H35" s="402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5"/>
  <sheetViews>
    <sheetView zoomScale="70" zoomScaleNormal="70" topLeftCell="A41" workbookViewId="0">
      <selection activeCell="H64" sqref="H64"/>
    </sheetView>
  </sheetViews>
  <sheetFormatPr defaultColWidth="9" defaultRowHeight="20.25"/>
  <cols>
    <col min="1" max="2" width="12.6583333333333" customWidth="1"/>
    <col min="3" max="3" width="20.9416666666667" customWidth="1"/>
    <col min="4" max="4" width="35.4666666666667" customWidth="1"/>
    <col min="5" max="5" width="39.5416666666667" hidden="1" customWidth="1"/>
    <col min="6" max="6" width="16.7833333333333" customWidth="1"/>
    <col min="7" max="8" width="24.4666666666667" customWidth="1"/>
    <col min="9" max="9" width="22.5416666666667" customWidth="1"/>
    <col min="10" max="10" width="14.1833333333333" customWidth="1"/>
    <col min="11" max="11" width="17.5416666666667" customWidth="1"/>
    <col min="12" max="12" width="20.725" hidden="1" customWidth="1"/>
    <col min="13" max="13" width="12.5416666666667" style="240" customWidth="1"/>
    <col min="17" max="17" width="29" customWidth="1"/>
    <col min="19" max="19" width="16.25" customWidth="1"/>
    <col min="20" max="20" width="18.2166666666667" style="1" customWidth="1"/>
    <col min="21" max="21" width="19.2833333333333" style="1" customWidth="1"/>
    <col min="22" max="22" width="16.425" style="1" customWidth="1"/>
  </cols>
  <sheetData>
    <row r="1" ht="30.75" customHeight="1" spans="1:22">
      <c r="A1" s="241"/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2"/>
      <c r="M1" s="243"/>
    </row>
    <row r="2" spans="1:22">
      <c r="C2" s="1"/>
      <c r="D2" s="1"/>
      <c r="E2" s="1"/>
      <c r="F2" s="1"/>
      <c r="G2" s="1"/>
      <c r="H2" s="1"/>
      <c r="I2" s="1"/>
      <c r="J2" s="1"/>
      <c r="K2" s="244"/>
    </row>
    <row r="3" spans="1:22">
      <c r="C3" s="1"/>
      <c r="D3" s="1"/>
      <c r="E3" s="1"/>
      <c r="F3" s="1"/>
      <c r="G3" s="1"/>
      <c r="H3" s="1"/>
      <c r="I3" s="1"/>
      <c r="J3" s="1"/>
      <c r="K3" s="244"/>
    </row>
    <row r="4" ht="28.5" spans="1:22">
      <c r="A4" s="165" t="s">
        <v>1</v>
      </c>
      <c r="B4" s="245" t="s">
        <v>40</v>
      </c>
      <c r="C4" s="165" t="s">
        <v>2</v>
      </c>
      <c r="D4" s="165" t="s">
        <v>41</v>
      </c>
      <c r="E4" s="165"/>
      <c r="F4" s="165" t="s">
        <v>42</v>
      </c>
      <c r="G4" s="165"/>
      <c r="H4" s="165"/>
      <c r="I4" s="246" t="s">
        <v>43</v>
      </c>
      <c r="J4" s="246" t="s">
        <v>44</v>
      </c>
      <c r="K4" s="165" t="s">
        <v>45</v>
      </c>
      <c r="L4" s="165" t="s">
        <v>46</v>
      </c>
      <c r="M4" s="243"/>
    </row>
    <row r="5" ht="20.15" customHeight="1" spans="1:22">
      <c r="A5" s="247">
        <v>1</v>
      </c>
      <c r="B5" s="248" t="s">
        <v>47</v>
      </c>
      <c r="C5" s="249" t="s">
        <v>48</v>
      </c>
      <c r="D5" s="250" t="s">
        <v>49</v>
      </c>
      <c r="E5" s="250"/>
      <c r="F5" s="251">
        <v>5</v>
      </c>
      <c r="G5" s="251"/>
      <c r="H5" s="251"/>
      <c r="I5" s="251">
        <v>0</v>
      </c>
      <c r="J5" s="251">
        <v>0</v>
      </c>
      <c r="K5" s="252">
        <v>900</v>
      </c>
      <c r="L5" s="253" t="s">
        <v>50</v>
      </c>
      <c r="M5" s="243"/>
    </row>
    <row r="6" ht="167.7" customHeight="1" spans="1:22">
      <c r="A6" s="254">
        <v>2</v>
      </c>
      <c r="B6" s="248"/>
      <c r="C6" s="247" t="s">
        <v>10</v>
      </c>
      <c r="D6" s="250" t="s">
        <v>51</v>
      </c>
      <c r="E6" s="250"/>
      <c r="F6" s="251">
        <v>10</v>
      </c>
      <c r="G6" s="251"/>
      <c r="H6" s="251"/>
      <c r="I6" s="251">
        <v>0</v>
      </c>
      <c r="J6" s="251">
        <v>10</v>
      </c>
      <c r="K6" s="252">
        <v>920</v>
      </c>
      <c r="L6" s="255"/>
      <c r="M6" s="243"/>
    </row>
    <row r="7" ht="40.5" customHeight="1" spans="1:22">
      <c r="A7" s="256"/>
      <c r="B7" s="248"/>
      <c r="C7" s="247"/>
      <c r="D7" s="250" t="s">
        <v>52</v>
      </c>
      <c r="E7" s="250"/>
      <c r="F7" s="251">
        <v>2</v>
      </c>
      <c r="G7" s="251"/>
      <c r="H7" s="251"/>
      <c r="I7" s="251">
        <v>0</v>
      </c>
      <c r="J7" s="251">
        <v>2</v>
      </c>
      <c r="K7" s="252">
        <v>920</v>
      </c>
      <c r="L7" s="255"/>
      <c r="M7" s="243"/>
    </row>
    <row r="8" spans="1:22">
      <c r="A8" s="254">
        <v>3</v>
      </c>
      <c r="B8" s="248"/>
      <c r="C8" s="257" t="s">
        <v>53</v>
      </c>
      <c r="D8" s="250" t="s">
        <v>51</v>
      </c>
      <c r="E8" s="250"/>
      <c r="F8" s="251">
        <v>12</v>
      </c>
      <c r="G8" s="251"/>
      <c r="H8" s="251"/>
      <c r="I8" s="251">
        <v>0</v>
      </c>
      <c r="J8" s="251">
        <v>12</v>
      </c>
      <c r="K8" s="258">
        <v>519</v>
      </c>
      <c r="L8" s="255"/>
      <c r="M8" s="243"/>
    </row>
    <row r="9" spans="1:22">
      <c r="A9" s="249"/>
      <c r="B9" s="248"/>
      <c r="C9" s="259"/>
      <c r="D9" s="250" t="s">
        <v>54</v>
      </c>
      <c r="E9" s="250"/>
      <c r="F9" s="251">
        <v>9</v>
      </c>
      <c r="G9" s="251"/>
      <c r="H9" s="251"/>
      <c r="I9" s="251">
        <v>0</v>
      </c>
      <c r="J9" s="251">
        <v>9</v>
      </c>
      <c r="K9" s="258">
        <v>519</v>
      </c>
      <c r="L9" s="255"/>
      <c r="M9" s="243"/>
    </row>
    <row r="10" spans="1:22">
      <c r="A10" s="249"/>
      <c r="B10" s="248"/>
      <c r="C10" s="259"/>
      <c r="D10" s="250" t="s">
        <v>55</v>
      </c>
      <c r="E10" s="250"/>
      <c r="F10" s="251">
        <v>4</v>
      </c>
      <c r="G10" s="251"/>
      <c r="H10" s="251"/>
      <c r="I10" s="251">
        <v>0</v>
      </c>
      <c r="J10" s="251">
        <v>4</v>
      </c>
      <c r="K10" s="252">
        <v>920</v>
      </c>
      <c r="L10" s="255"/>
      <c r="M10" s="243"/>
    </row>
    <row r="11" spans="1:22">
      <c r="A11" s="256"/>
      <c r="B11" s="248"/>
      <c r="C11" s="259"/>
      <c r="D11" s="250" t="s">
        <v>52</v>
      </c>
      <c r="E11" s="250"/>
      <c r="F11" s="251">
        <v>5</v>
      </c>
      <c r="G11" s="251"/>
      <c r="H11" s="251"/>
      <c r="I11" s="251">
        <v>0</v>
      </c>
      <c r="J11" s="251">
        <v>5</v>
      </c>
      <c r="K11" s="252">
        <v>920</v>
      </c>
      <c r="L11" s="255"/>
      <c r="M11" s="243"/>
    </row>
    <row r="12" ht="22.15" customHeight="1" spans="1:22">
      <c r="A12" s="247">
        <v>4</v>
      </c>
      <c r="B12" s="260"/>
      <c r="C12" s="247" t="s">
        <v>11</v>
      </c>
      <c r="D12" s="250" t="s">
        <v>56</v>
      </c>
      <c r="E12" s="250"/>
      <c r="F12" s="251">
        <v>8</v>
      </c>
      <c r="G12" s="251"/>
      <c r="H12" s="251"/>
      <c r="I12" s="251"/>
      <c r="J12" s="251"/>
      <c r="K12" s="252">
        <v>680</v>
      </c>
      <c r="L12" s="261"/>
      <c r="M12" s="243"/>
    </row>
    <row r="13" spans="1:22">
      <c r="A13" s="251"/>
      <c r="B13" s="251"/>
      <c r="C13" s="262" t="s">
        <v>57</v>
      </c>
      <c r="D13" s="263"/>
      <c r="E13" s="263"/>
      <c r="F13" s="264">
        <f>SUM(F5:F12)</f>
        <v>55</v>
      </c>
      <c r="G13" s="264"/>
      <c r="H13" s="264"/>
      <c r="I13" s="264">
        <f>SUM(I5:I12)</f>
        <v>0</v>
      </c>
      <c r="J13" s="264">
        <f>SUM(J5:J12)</f>
        <v>42</v>
      </c>
      <c r="K13" s="251"/>
      <c r="L13" s="251"/>
      <c r="M13" s="265"/>
    </row>
    <row r="14" spans="1:22">
      <c r="A14" s="266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5"/>
      <c r="R14" s="3" t="s">
        <v>58</v>
      </c>
    </row>
    <row r="15" ht="56.25" spans="1:22">
      <c r="A15" s="266"/>
      <c r="B15" s="266"/>
      <c r="C15" s="266"/>
      <c r="D15" s="266"/>
      <c r="E15" s="266"/>
      <c r="F15" s="267" t="s">
        <v>59</v>
      </c>
      <c r="G15" s="268" t="s">
        <v>60</v>
      </c>
      <c r="H15" s="268" t="s">
        <v>61</v>
      </c>
      <c r="I15" s="267" t="s">
        <v>62</v>
      </c>
      <c r="J15" s="267" t="s">
        <v>63</v>
      </c>
      <c r="K15" s="266"/>
      <c r="L15" s="266"/>
      <c r="M15" s="265"/>
      <c r="R15" s="3"/>
      <c r="T15" s="2" t="s">
        <v>64</v>
      </c>
      <c r="U15" s="2" t="s">
        <v>65</v>
      </c>
      <c r="V15" s="2" t="s">
        <v>66</v>
      </c>
    </row>
    <row r="16" spans="1:22">
      <c r="A16" s="266"/>
      <c r="B16" s="269"/>
      <c r="C16" s="267"/>
      <c r="D16" s="267"/>
      <c r="E16" s="267"/>
      <c r="F16" s="266"/>
      <c r="G16" s="266"/>
      <c r="H16" s="266"/>
      <c r="I16" s="267" t="s">
        <v>67</v>
      </c>
      <c r="J16" s="267" t="s">
        <v>68</v>
      </c>
      <c r="K16" s="270"/>
      <c r="L16" s="271"/>
      <c r="M16" s="272"/>
    </row>
    <row r="17" spans="1:22">
      <c r="A17" s="273">
        <v>1</v>
      </c>
      <c r="B17" s="274" t="s">
        <v>69</v>
      </c>
      <c r="C17" s="250" t="s">
        <v>48</v>
      </c>
      <c r="D17" s="250" t="s">
        <v>70</v>
      </c>
      <c r="E17" s="250"/>
      <c r="F17" s="251">
        <v>20</v>
      </c>
      <c r="G17" s="251">
        <v>20</v>
      </c>
      <c r="H17" s="251"/>
      <c r="I17" s="251">
        <v>16</v>
      </c>
      <c r="J17" s="251"/>
      <c r="K17" s="252">
        <v>450</v>
      </c>
      <c r="L17" s="275" t="s">
        <v>71</v>
      </c>
      <c r="M17" s="272">
        <f t="shared" ref="M17:M24" si="0">F17-I17-J17</f>
        <v>4</v>
      </c>
      <c r="R17">
        <f t="shared" ref="R17:R22" si="1">G17-I17</f>
        <v>4</v>
      </c>
    </row>
    <row r="18" spans="1:22">
      <c r="A18" s="276"/>
      <c r="B18" s="274"/>
      <c r="C18" s="250"/>
      <c r="D18" s="250" t="s">
        <v>72</v>
      </c>
      <c r="E18" s="250"/>
      <c r="F18" s="277">
        <v>35</v>
      </c>
      <c r="G18" s="277">
        <v>27</v>
      </c>
      <c r="H18" s="277"/>
      <c r="I18" s="277">
        <v>27</v>
      </c>
      <c r="J18" s="277">
        <v>8</v>
      </c>
      <c r="K18" s="252">
        <v>510</v>
      </c>
      <c r="L18" s="278"/>
      <c r="M18" s="272">
        <f t="shared" si="0"/>
        <v>0</v>
      </c>
      <c r="R18">
        <f t="shared" si="1"/>
        <v>0</v>
      </c>
    </row>
    <row r="19" spans="1:22">
      <c r="A19" s="276"/>
      <c r="B19" s="274"/>
      <c r="C19" s="250"/>
      <c r="D19" s="250" t="s">
        <v>73</v>
      </c>
      <c r="E19" s="250"/>
      <c r="F19" s="251">
        <v>20</v>
      </c>
      <c r="G19" s="273">
        <v>12</v>
      </c>
      <c r="H19" s="273">
        <f>20-J19</f>
        <v>12</v>
      </c>
      <c r="I19" s="273">
        <v>12</v>
      </c>
      <c r="J19" s="279">
        <v>8</v>
      </c>
      <c r="K19" s="252">
        <v>500</v>
      </c>
      <c r="L19" s="278"/>
      <c r="M19" s="272">
        <f t="shared" si="0"/>
        <v>0</v>
      </c>
      <c r="N19" t="s">
        <v>74</v>
      </c>
      <c r="R19">
        <f t="shared" si="1"/>
        <v>0</v>
      </c>
      <c r="T19" s="1">
        <v>9</v>
      </c>
    </row>
    <row r="20" spans="1:22">
      <c r="A20" s="276"/>
      <c r="B20" s="274"/>
      <c r="C20" s="250"/>
      <c r="D20" s="250" t="s">
        <v>75</v>
      </c>
      <c r="E20" s="250"/>
      <c r="F20" s="251">
        <v>30</v>
      </c>
      <c r="G20" s="251">
        <v>30</v>
      </c>
      <c r="H20" s="251">
        <f>30-J20</f>
        <v>30</v>
      </c>
      <c r="I20" s="251">
        <v>30</v>
      </c>
      <c r="J20" s="251"/>
      <c r="K20" s="252">
        <v>610</v>
      </c>
      <c r="L20" s="278"/>
      <c r="M20" s="272">
        <f t="shared" si="0"/>
        <v>0</v>
      </c>
      <c r="R20">
        <f t="shared" si="1"/>
        <v>0</v>
      </c>
    </row>
    <row r="21" spans="1:22">
      <c r="A21" s="276"/>
      <c r="B21" s="274"/>
      <c r="C21" s="250"/>
      <c r="D21" s="250" t="s">
        <v>76</v>
      </c>
      <c r="E21" s="250"/>
      <c r="F21" s="251">
        <v>10</v>
      </c>
      <c r="G21" s="251">
        <v>10</v>
      </c>
      <c r="H21" s="251">
        <f>10-J21</f>
        <v>10</v>
      </c>
      <c r="I21" s="251">
        <v>5</v>
      </c>
      <c r="J21" s="251"/>
      <c r="K21" s="252">
        <v>758</v>
      </c>
      <c r="L21" s="280"/>
      <c r="M21" s="272">
        <f t="shared" si="0"/>
        <v>5</v>
      </c>
      <c r="R21">
        <f t="shared" si="1"/>
        <v>5</v>
      </c>
    </row>
    <row r="22" spans="1:22">
      <c r="A22" s="276"/>
      <c r="B22" s="274"/>
      <c r="C22" s="250"/>
      <c r="D22" s="250" t="s">
        <v>77</v>
      </c>
      <c r="E22" s="250"/>
      <c r="F22" s="251">
        <v>20</v>
      </c>
      <c r="G22" s="251">
        <v>20</v>
      </c>
      <c r="H22" s="251">
        <f>20-J22</f>
        <v>18</v>
      </c>
      <c r="I22" s="251">
        <v>12</v>
      </c>
      <c r="J22" s="251">
        <v>2</v>
      </c>
      <c r="K22" s="252">
        <v>560</v>
      </c>
      <c r="L22" s="281"/>
      <c r="M22" s="272">
        <f t="shared" si="0"/>
        <v>6</v>
      </c>
      <c r="R22">
        <f t="shared" si="1"/>
        <v>8</v>
      </c>
    </row>
    <row r="23" spans="1:22">
      <c r="A23" s="276"/>
      <c r="B23" s="274"/>
      <c r="C23" s="250"/>
      <c r="D23" s="282" t="s">
        <v>78</v>
      </c>
      <c r="E23" s="282"/>
      <c r="F23" s="283">
        <v>20</v>
      </c>
      <c r="G23" s="283">
        <v>12</v>
      </c>
      <c r="H23" s="283">
        <f>20-J23</f>
        <v>17</v>
      </c>
      <c r="I23" s="283">
        <v>9</v>
      </c>
      <c r="J23" s="283">
        <v>3</v>
      </c>
      <c r="K23" s="284">
        <v>758</v>
      </c>
      <c r="L23" s="285"/>
      <c r="M23" s="272">
        <f t="shared" si="0"/>
        <v>8</v>
      </c>
    </row>
    <row r="24" spans="1:22">
      <c r="A24" s="276"/>
      <c r="B24" s="274"/>
      <c r="C24" s="250"/>
      <c r="D24" s="282" t="s">
        <v>79</v>
      </c>
      <c r="E24" s="282"/>
      <c r="F24" s="283">
        <v>30</v>
      </c>
      <c r="G24" s="286">
        <v>26</v>
      </c>
      <c r="H24" s="286">
        <f>30-J24</f>
        <v>26</v>
      </c>
      <c r="I24" s="283">
        <v>23</v>
      </c>
      <c r="J24" s="283">
        <v>4</v>
      </c>
      <c r="K24" s="284">
        <v>550</v>
      </c>
      <c r="L24" s="285"/>
      <c r="M24" s="272">
        <f t="shared" si="0"/>
        <v>3</v>
      </c>
      <c r="T24" s="1">
        <v>3</v>
      </c>
    </row>
    <row r="25" ht="18.75" spans="1:22">
      <c r="A25" s="287"/>
      <c r="B25" s="274"/>
      <c r="C25" s="250"/>
      <c r="D25" s="288" t="s">
        <v>80</v>
      </c>
      <c r="E25" s="288"/>
      <c r="F25" s="263">
        <f>SUM(F17:F24)</f>
        <v>185</v>
      </c>
      <c r="G25" s="263"/>
      <c r="H25" s="263"/>
      <c r="I25" s="263">
        <f>SUM(I17:I24)</f>
        <v>134</v>
      </c>
      <c r="J25" s="263">
        <f>SUM(J17:J24)</f>
        <v>25</v>
      </c>
      <c r="K25" s="289"/>
      <c r="L25" s="290"/>
      <c r="M25" s="263">
        <f>SUM(M17:M24)</f>
        <v>26</v>
      </c>
    </row>
    <row r="26" ht="18.75" spans="1:22">
      <c r="A26" s="276"/>
      <c r="B26" s="274"/>
      <c r="C26" s="250"/>
      <c r="D26" s="288"/>
      <c r="E26" s="288"/>
      <c r="F26" s="263">
        <f>F17+F19+F23+F24</f>
        <v>90</v>
      </c>
      <c r="G26" s="263">
        <f>F25-F26</f>
        <v>95</v>
      </c>
      <c r="H26" s="263">
        <f>F26+G26*2</f>
        <v>280</v>
      </c>
      <c r="I26" s="263"/>
      <c r="J26" s="263"/>
      <c r="K26" s="289"/>
      <c r="L26" s="291"/>
      <c r="M26" s="292"/>
    </row>
    <row r="27" spans="1:22">
      <c r="A27" s="273">
        <v>2</v>
      </c>
      <c r="B27" s="274"/>
      <c r="C27" s="251" t="s">
        <v>10</v>
      </c>
      <c r="D27" s="250" t="s">
        <v>81</v>
      </c>
      <c r="E27" s="250">
        <v>60</v>
      </c>
      <c r="F27" s="251">
        <v>60</v>
      </c>
      <c r="G27" s="251">
        <v>49</v>
      </c>
      <c r="H27" s="251"/>
      <c r="I27" s="251">
        <v>48</v>
      </c>
      <c r="J27" s="293">
        <v>12</v>
      </c>
      <c r="K27" s="252">
        <v>470</v>
      </c>
      <c r="L27" s="275" t="s">
        <v>82</v>
      </c>
      <c r="M27" s="272">
        <f>F27-I27-J27</f>
        <v>0</v>
      </c>
      <c r="N27" t="s">
        <v>83</v>
      </c>
      <c r="Q27" t="s">
        <v>84</v>
      </c>
      <c r="R27">
        <f>G27-I27</f>
        <v>1</v>
      </c>
      <c r="T27" s="1">
        <v>7</v>
      </c>
      <c r="V27" s="1">
        <v>4</v>
      </c>
    </row>
    <row r="28" spans="1:22">
      <c r="A28" s="276"/>
      <c r="B28" s="274"/>
      <c r="C28" s="251"/>
      <c r="D28" s="294" t="s">
        <v>85</v>
      </c>
      <c r="E28" s="294">
        <v>43</v>
      </c>
      <c r="F28" s="295">
        <v>43</v>
      </c>
      <c r="G28" s="295">
        <v>43</v>
      </c>
      <c r="H28" s="295"/>
      <c r="I28" s="295">
        <v>41</v>
      </c>
      <c r="J28" s="296">
        <v>2</v>
      </c>
      <c r="K28" s="252">
        <v>470</v>
      </c>
      <c r="L28" s="278"/>
      <c r="M28" s="272">
        <f t="shared" ref="M28:M33" si="2">F28-I28-J28</f>
        <v>0</v>
      </c>
      <c r="N28" t="s">
        <v>86</v>
      </c>
      <c r="R28">
        <f>G28-I28</f>
        <v>2</v>
      </c>
    </row>
    <row r="29" spans="1:22">
      <c r="A29" s="276"/>
      <c r="B29" s="274"/>
      <c r="C29" s="251"/>
      <c r="D29" s="250" t="s">
        <v>72</v>
      </c>
      <c r="E29" s="250">
        <v>20</v>
      </c>
      <c r="F29" s="251">
        <v>20</v>
      </c>
      <c r="G29" s="250" t="s">
        <v>87</v>
      </c>
      <c r="H29" s="250"/>
      <c r="I29" s="251">
        <v>19</v>
      </c>
      <c r="J29" s="251">
        <v>0</v>
      </c>
      <c r="K29" s="252">
        <v>470</v>
      </c>
      <c r="L29" s="278"/>
      <c r="M29" s="272">
        <f t="shared" si="2"/>
        <v>1</v>
      </c>
      <c r="R29" t="e">
        <f>G29-I29</f>
        <v>#VALUE!</v>
      </c>
    </row>
    <row r="30" spans="1:22">
      <c r="A30" s="276"/>
      <c r="B30" s="274"/>
      <c r="C30" s="251"/>
      <c r="D30" s="250" t="s">
        <v>88</v>
      </c>
      <c r="E30" s="250">
        <v>33</v>
      </c>
      <c r="F30" s="251">
        <v>28</v>
      </c>
      <c r="G30" s="251">
        <v>28</v>
      </c>
      <c r="H30" s="251"/>
      <c r="I30" s="251">
        <v>27</v>
      </c>
      <c r="J30" s="251"/>
      <c r="K30" s="252">
        <v>470</v>
      </c>
      <c r="L30" s="280"/>
      <c r="M30" s="272">
        <f t="shared" si="2"/>
        <v>1</v>
      </c>
      <c r="R30">
        <f>G30-I30</f>
        <v>1</v>
      </c>
    </row>
    <row r="31" spans="1:22">
      <c r="A31" s="276"/>
      <c r="B31" s="274"/>
      <c r="C31" s="251"/>
      <c r="D31" s="297" t="s">
        <v>88</v>
      </c>
      <c r="E31" s="297">
        <v>12</v>
      </c>
      <c r="F31" s="298">
        <v>17</v>
      </c>
      <c r="G31" s="299">
        <v>17</v>
      </c>
      <c r="H31" s="299">
        <f>17-J31</f>
        <v>2</v>
      </c>
      <c r="I31" s="299">
        <v>0</v>
      </c>
      <c r="J31" s="299">
        <v>15</v>
      </c>
      <c r="K31" s="300">
        <v>470</v>
      </c>
      <c r="L31" s="301" t="s">
        <v>89</v>
      </c>
      <c r="M31" s="272">
        <f t="shared" si="2"/>
        <v>2</v>
      </c>
      <c r="R31">
        <f>F32-I32</f>
        <v>12</v>
      </c>
      <c r="T31" s="1">
        <v>1</v>
      </c>
    </row>
    <row r="32" spans="1:22">
      <c r="A32" s="276"/>
      <c r="B32" s="274"/>
      <c r="C32" s="251"/>
      <c r="D32" s="302" t="s">
        <v>90</v>
      </c>
      <c r="E32" s="302">
        <v>12</v>
      </c>
      <c r="F32" s="299">
        <v>12</v>
      </c>
      <c r="G32" s="299">
        <v>3</v>
      </c>
      <c r="H32" s="299">
        <f>12-J32</f>
        <v>1</v>
      </c>
      <c r="I32" s="299">
        <v>0</v>
      </c>
      <c r="J32" s="296">
        <v>11</v>
      </c>
      <c r="K32" s="300">
        <v>470</v>
      </c>
      <c r="L32" s="285"/>
      <c r="M32" s="272">
        <f t="shared" si="2"/>
        <v>1</v>
      </c>
      <c r="R32">
        <f>F33-J33</f>
        <v>32</v>
      </c>
      <c r="T32" s="1">
        <v>9</v>
      </c>
    </row>
    <row r="33" spans="1:22">
      <c r="A33" s="276"/>
      <c r="B33" s="274"/>
      <c r="C33" s="251"/>
      <c r="D33" s="302" t="s">
        <v>70</v>
      </c>
      <c r="E33" s="302">
        <v>60</v>
      </c>
      <c r="F33" s="299">
        <v>60</v>
      </c>
      <c r="G33" s="299">
        <v>31</v>
      </c>
      <c r="H33" s="299">
        <f>60-J33</f>
        <v>32</v>
      </c>
      <c r="I33" s="299">
        <v>0</v>
      </c>
      <c r="J33" s="303">
        <v>28</v>
      </c>
      <c r="K33" s="300">
        <v>470</v>
      </c>
      <c r="L33" s="304"/>
      <c r="M33" s="272">
        <f t="shared" si="2"/>
        <v>32</v>
      </c>
      <c r="N33" t="s">
        <v>91</v>
      </c>
      <c r="T33" s="1">
        <v>29</v>
      </c>
    </row>
    <row r="34" ht="18.75" spans="1:22">
      <c r="A34" s="287"/>
      <c r="B34" s="274"/>
      <c r="C34" s="251"/>
      <c r="D34" s="288" t="s">
        <v>80</v>
      </c>
      <c r="E34" s="288"/>
      <c r="F34" s="263">
        <f>SUM(F27:F33)</f>
        <v>240</v>
      </c>
      <c r="G34" s="263"/>
      <c r="H34" s="263"/>
      <c r="I34" s="263">
        <f>SUM(I27:I33)</f>
        <v>135</v>
      </c>
      <c r="J34" s="263">
        <f>SUM(J27:J33)</f>
        <v>68</v>
      </c>
      <c r="K34" s="289"/>
      <c r="L34" s="290"/>
      <c r="M34" s="263">
        <f>SUM(M27:M33)</f>
        <v>37</v>
      </c>
      <c r="T34" s="2"/>
      <c r="U34" s="2"/>
      <c r="V34" s="2"/>
    </row>
    <row r="35" ht="18.75" spans="1:22">
      <c r="A35" s="276"/>
      <c r="B35" s="274"/>
      <c r="C35" s="273"/>
      <c r="D35" s="288"/>
      <c r="E35" s="288"/>
      <c r="F35" s="263">
        <f>F27+F30+F31+F33</f>
        <v>165</v>
      </c>
      <c r="G35" s="263">
        <f>F34-F35</f>
        <v>75</v>
      </c>
      <c r="H35" s="263">
        <f>F35+G35*2</f>
        <v>315</v>
      </c>
      <c r="I35" s="263"/>
      <c r="J35" s="263"/>
      <c r="K35" s="289"/>
      <c r="L35" s="291"/>
      <c r="M35" s="292"/>
      <c r="T35" s="2"/>
      <c r="U35" s="2"/>
      <c r="V35" s="2"/>
    </row>
    <row r="36" spans="1:22">
      <c r="A36" s="273">
        <v>3</v>
      </c>
      <c r="B36" s="274"/>
      <c r="C36" s="273" t="s">
        <v>53</v>
      </c>
      <c r="D36" s="250" t="s">
        <v>70</v>
      </c>
      <c r="E36" s="250"/>
      <c r="F36" s="305">
        <v>21</v>
      </c>
      <c r="G36" s="305">
        <v>21</v>
      </c>
      <c r="H36" s="305"/>
      <c r="I36" s="305">
        <v>21</v>
      </c>
      <c r="J36" s="305"/>
      <c r="K36" s="252">
        <v>399</v>
      </c>
      <c r="L36" s="291"/>
      <c r="M36" s="306">
        <v>0</v>
      </c>
      <c r="N36" s="3"/>
      <c r="R36">
        <f t="shared" ref="R36:R41" si="3">G36-I36</f>
        <v>0</v>
      </c>
    </row>
    <row r="37" spans="1:22">
      <c r="A37" s="276"/>
      <c r="B37" s="274"/>
      <c r="C37" s="276"/>
      <c r="D37" s="250" t="s">
        <v>72</v>
      </c>
      <c r="E37" s="250"/>
      <c r="F37" s="305">
        <v>42</v>
      </c>
      <c r="G37" s="305">
        <v>42</v>
      </c>
      <c r="H37" s="305"/>
      <c r="I37" s="305">
        <v>42</v>
      </c>
      <c r="J37" s="305"/>
      <c r="K37" s="252">
        <v>399</v>
      </c>
      <c r="L37" s="291"/>
      <c r="M37" s="306">
        <v>0</v>
      </c>
      <c r="R37">
        <f t="shared" si="3"/>
        <v>0</v>
      </c>
    </row>
    <row r="38" spans="1:22">
      <c r="A38" s="276"/>
      <c r="B38" s="274"/>
      <c r="C38" s="276"/>
      <c r="D38" s="250" t="s">
        <v>81</v>
      </c>
      <c r="E38" s="250"/>
      <c r="F38" s="305">
        <v>54</v>
      </c>
      <c r="G38" s="305">
        <v>44</v>
      </c>
      <c r="H38" s="305">
        <f>54-J38</f>
        <v>25</v>
      </c>
      <c r="I38" s="307">
        <v>25</v>
      </c>
      <c r="J38" s="251">
        <v>29</v>
      </c>
      <c r="K38" s="252">
        <v>438</v>
      </c>
      <c r="L38" s="308" t="s">
        <v>92</v>
      </c>
      <c r="M38" s="309">
        <f>F38-I38-J38</f>
        <v>0</v>
      </c>
      <c r="N38" t="s">
        <v>93</v>
      </c>
      <c r="R38">
        <f t="shared" si="3"/>
        <v>19</v>
      </c>
      <c r="T38" s="1">
        <v>9</v>
      </c>
      <c r="V38" s="1">
        <v>1</v>
      </c>
    </row>
    <row r="39" spans="1:22">
      <c r="A39" s="276"/>
      <c r="B39" s="274"/>
      <c r="C39" s="276"/>
      <c r="D39" s="250" t="s">
        <v>85</v>
      </c>
      <c r="E39" s="250"/>
      <c r="F39" s="277">
        <v>30</v>
      </c>
      <c r="G39" s="277">
        <v>26</v>
      </c>
      <c r="H39" s="277"/>
      <c r="I39" s="277">
        <v>16</v>
      </c>
      <c r="J39" s="250">
        <v>13</v>
      </c>
      <c r="K39" s="252">
        <v>438</v>
      </c>
      <c r="L39" s="310"/>
      <c r="M39" s="309">
        <f>F39-I39-J39</f>
        <v>1</v>
      </c>
      <c r="R39">
        <f t="shared" si="3"/>
        <v>10</v>
      </c>
    </row>
    <row r="40" spans="1:22">
      <c r="A40" s="276"/>
      <c r="B40" s="274"/>
      <c r="C40" s="276"/>
      <c r="D40" s="311" t="s">
        <v>94</v>
      </c>
      <c r="E40" s="311"/>
      <c r="F40" s="251">
        <v>44</v>
      </c>
      <c r="G40" s="251">
        <v>40</v>
      </c>
      <c r="H40" s="251">
        <f>44-J40</f>
        <v>12</v>
      </c>
      <c r="I40" s="251">
        <v>9</v>
      </c>
      <c r="J40" s="251">
        <v>32</v>
      </c>
      <c r="K40" s="252">
        <v>470</v>
      </c>
      <c r="L40" s="310"/>
      <c r="M40" s="309">
        <f>F40-I40-J40</f>
        <v>3</v>
      </c>
      <c r="N40" t="s">
        <v>95</v>
      </c>
      <c r="R40">
        <f t="shared" si="3"/>
        <v>31</v>
      </c>
      <c r="T40" s="1">
        <v>3</v>
      </c>
      <c r="U40" s="1">
        <v>1</v>
      </c>
    </row>
    <row r="41" spans="1:22">
      <c r="A41" s="276"/>
      <c r="B41" s="274"/>
      <c r="C41" s="276"/>
      <c r="D41" s="294" t="s">
        <v>96</v>
      </c>
      <c r="E41" s="250"/>
      <c r="F41" s="251">
        <v>15</v>
      </c>
      <c r="G41" s="251">
        <v>13</v>
      </c>
      <c r="H41" s="251">
        <f>15-J41</f>
        <v>9</v>
      </c>
      <c r="I41" s="251">
        <v>9</v>
      </c>
      <c r="J41" s="312">
        <v>6</v>
      </c>
      <c r="K41" s="252">
        <v>470</v>
      </c>
      <c r="L41" s="313"/>
      <c r="M41" s="309">
        <f>F41-I41-J41</f>
        <v>0</v>
      </c>
      <c r="N41" t="s">
        <v>97</v>
      </c>
      <c r="R41">
        <f t="shared" si="3"/>
        <v>4</v>
      </c>
      <c r="T41" s="1">
        <v>4</v>
      </c>
    </row>
    <row r="42" spans="1:22">
      <c r="A42" s="276"/>
      <c r="B42" s="274"/>
      <c r="C42" s="276"/>
      <c r="D42" s="294" t="s">
        <v>98</v>
      </c>
      <c r="E42" s="302"/>
      <c r="F42" s="299">
        <v>17</v>
      </c>
      <c r="G42" s="299">
        <v>17</v>
      </c>
      <c r="H42" s="299">
        <f>17-J42</f>
        <v>16</v>
      </c>
      <c r="I42" s="299">
        <v>0</v>
      </c>
      <c r="J42" s="299">
        <v>1</v>
      </c>
      <c r="K42" s="300">
        <v>550</v>
      </c>
      <c r="L42" s="285"/>
      <c r="M42" s="314">
        <f>G42-I42-J42</f>
        <v>16</v>
      </c>
    </row>
    <row r="43" spans="1:22">
      <c r="A43" s="276"/>
      <c r="B43" s="274"/>
      <c r="C43" s="276"/>
      <c r="D43" s="282" t="s">
        <v>99</v>
      </c>
      <c r="E43" s="282"/>
      <c r="F43" s="283">
        <v>51</v>
      </c>
      <c r="G43" s="283">
        <v>51</v>
      </c>
      <c r="H43" s="283">
        <f>51-J43</f>
        <v>18</v>
      </c>
      <c r="I43" s="283">
        <v>0</v>
      </c>
      <c r="J43" s="283">
        <v>33</v>
      </c>
      <c r="K43" s="284">
        <v>470</v>
      </c>
      <c r="L43" s="304"/>
      <c r="M43" s="314">
        <f>G43-I43-J43</f>
        <v>18</v>
      </c>
      <c r="T43" s="1">
        <v>1</v>
      </c>
    </row>
    <row r="44" ht="18.75" spans="1:22">
      <c r="A44" s="287"/>
      <c r="B44" s="274"/>
      <c r="C44" s="287"/>
      <c r="D44" s="288" t="s">
        <v>80</v>
      </c>
      <c r="E44" s="288"/>
      <c r="F44" s="263">
        <f>SUM(F36:F43)</f>
        <v>274</v>
      </c>
      <c r="G44" s="263"/>
      <c r="H44" s="263"/>
      <c r="I44" s="263">
        <f>SUM(I36:I43)</f>
        <v>122</v>
      </c>
      <c r="J44" s="263">
        <f>SUM(J36:J43)</f>
        <v>114</v>
      </c>
      <c r="K44" s="289"/>
      <c r="L44" s="290"/>
      <c r="M44" s="263">
        <f>SUM(M36:M43)</f>
        <v>38</v>
      </c>
    </row>
    <row r="45" ht="18.75" spans="1:22">
      <c r="A45" s="276"/>
      <c r="B45" s="274"/>
      <c r="C45" s="287"/>
      <c r="D45" s="288"/>
      <c r="E45" s="288"/>
      <c r="F45" s="263">
        <f>F36+F38+F40+F41+F42+F43</f>
        <v>202</v>
      </c>
      <c r="G45" s="263">
        <f>F44-F45</f>
        <v>72</v>
      </c>
      <c r="H45" s="263">
        <f>F45+G45*2</f>
        <v>346</v>
      </c>
      <c r="I45" s="263"/>
      <c r="J45" s="263"/>
      <c r="K45" s="289"/>
      <c r="L45" s="291"/>
      <c r="M45" s="292"/>
    </row>
    <row r="46" spans="1:22">
      <c r="A46" s="273">
        <v>4</v>
      </c>
      <c r="B46" s="274"/>
      <c r="C46" s="250" t="s">
        <v>11</v>
      </c>
      <c r="D46" s="250" t="s">
        <v>100</v>
      </c>
      <c r="E46" s="250"/>
      <c r="F46" s="251">
        <v>16</v>
      </c>
      <c r="G46" s="251">
        <v>16</v>
      </c>
      <c r="H46" s="251"/>
      <c r="I46" s="251">
        <v>15</v>
      </c>
      <c r="J46" s="251"/>
      <c r="K46" s="252">
        <v>300</v>
      </c>
      <c r="L46" s="308" t="s">
        <v>101</v>
      </c>
      <c r="M46" s="309">
        <f t="shared" ref="M46:M51" si="4">F46-I46-J46</f>
        <v>1</v>
      </c>
      <c r="R46">
        <f t="shared" ref="R46:R55" si="5">G46-I46</f>
        <v>1</v>
      </c>
    </row>
    <row r="47" spans="1:22">
      <c r="A47" s="276"/>
      <c r="B47" s="274"/>
      <c r="C47" s="250"/>
      <c r="D47" s="250" t="s">
        <v>102</v>
      </c>
      <c r="E47" s="250"/>
      <c r="F47" s="251">
        <v>24</v>
      </c>
      <c r="G47" s="251">
        <v>24</v>
      </c>
      <c r="H47" s="251"/>
      <c r="I47" s="251">
        <v>23</v>
      </c>
      <c r="J47" s="251"/>
      <c r="K47" s="252">
        <v>300</v>
      </c>
      <c r="L47" s="315"/>
      <c r="M47" s="309">
        <f t="shared" si="4"/>
        <v>1</v>
      </c>
      <c r="R47">
        <f t="shared" si="5"/>
        <v>1</v>
      </c>
    </row>
    <row r="48" spans="1:22">
      <c r="A48" s="276"/>
      <c r="B48" s="274"/>
      <c r="C48" s="250"/>
      <c r="D48" s="250" t="s">
        <v>103</v>
      </c>
      <c r="E48" s="250"/>
      <c r="F48" s="277">
        <v>35</v>
      </c>
      <c r="G48" s="277">
        <v>27</v>
      </c>
      <c r="H48" s="277"/>
      <c r="I48" s="277">
        <v>26</v>
      </c>
      <c r="J48" s="277">
        <v>8</v>
      </c>
      <c r="K48" s="252">
        <v>320</v>
      </c>
      <c r="L48" s="315"/>
      <c r="M48" s="309">
        <f t="shared" si="4"/>
        <v>1</v>
      </c>
      <c r="R48">
        <f t="shared" si="5"/>
        <v>1</v>
      </c>
    </row>
    <row r="49" spans="1:20">
      <c r="A49" s="276"/>
      <c r="B49" s="274"/>
      <c r="C49" s="250"/>
      <c r="D49" s="250" t="s">
        <v>104</v>
      </c>
      <c r="E49" s="250"/>
      <c r="F49" s="251">
        <v>45</v>
      </c>
      <c r="G49" s="251">
        <v>45</v>
      </c>
      <c r="H49" s="251"/>
      <c r="I49" s="251">
        <v>44</v>
      </c>
      <c r="J49" s="251"/>
      <c r="K49" s="252">
        <v>320</v>
      </c>
      <c r="L49" s="310"/>
      <c r="M49" s="309">
        <f t="shared" si="4"/>
        <v>1</v>
      </c>
      <c r="R49">
        <f t="shared" si="5"/>
        <v>1</v>
      </c>
    </row>
    <row r="50" spans="1:20">
      <c r="A50" s="276"/>
      <c r="B50" s="274"/>
      <c r="C50" s="250"/>
      <c r="D50" s="250" t="s">
        <v>105</v>
      </c>
      <c r="E50" s="250"/>
      <c r="F50" s="251">
        <v>7</v>
      </c>
      <c r="G50" s="251">
        <v>7</v>
      </c>
      <c r="H50" s="251"/>
      <c r="I50" s="251">
        <v>7</v>
      </c>
      <c r="J50" s="251"/>
      <c r="K50" s="252">
        <v>320</v>
      </c>
      <c r="L50" s="310"/>
      <c r="M50" s="309">
        <f t="shared" si="4"/>
        <v>0</v>
      </c>
      <c r="R50">
        <f t="shared" si="5"/>
        <v>0</v>
      </c>
    </row>
    <row r="51" spans="1:20">
      <c r="A51" s="276"/>
      <c r="B51" s="274"/>
      <c r="C51" s="250"/>
      <c r="D51" s="250" t="s">
        <v>106</v>
      </c>
      <c r="E51" s="250"/>
      <c r="F51" s="251">
        <v>9</v>
      </c>
      <c r="G51" s="251">
        <v>9</v>
      </c>
      <c r="H51" s="251"/>
      <c r="I51" s="251">
        <v>9</v>
      </c>
      <c r="J51" s="251"/>
      <c r="K51" s="252">
        <v>320</v>
      </c>
      <c r="L51" s="310"/>
      <c r="M51" s="309">
        <f t="shared" si="4"/>
        <v>0</v>
      </c>
      <c r="R51">
        <f t="shared" si="5"/>
        <v>0</v>
      </c>
    </row>
    <row r="52" ht="18.75" spans="1:20">
      <c r="A52" s="287"/>
      <c r="B52" s="274"/>
      <c r="C52" s="250"/>
      <c r="D52" s="316" t="s">
        <v>80</v>
      </c>
      <c r="E52" s="316"/>
      <c r="F52" s="317">
        <f>SUM(F46:F51)</f>
        <v>136</v>
      </c>
      <c r="G52" s="317">
        <v>128</v>
      </c>
      <c r="H52" s="263">
        <f>F52+G52*2</f>
        <v>392</v>
      </c>
      <c r="I52" s="317">
        <f>SUM(I46:I51)</f>
        <v>124</v>
      </c>
      <c r="J52" s="317">
        <v>8</v>
      </c>
      <c r="K52" s="318"/>
      <c r="L52" s="313"/>
      <c r="M52" s="317">
        <f>SUM(M46:M51)</f>
        <v>4</v>
      </c>
    </row>
    <row r="53" ht="18.75" spans="1:20">
      <c r="A53" s="276"/>
      <c r="B53" s="274"/>
      <c r="C53" s="319"/>
      <c r="D53" s="320"/>
      <c r="E53" s="320"/>
      <c r="F53" s="321">
        <f>F46+F48+F49+F50</f>
        <v>103</v>
      </c>
      <c r="G53" s="321">
        <f>F52-F53</f>
        <v>33</v>
      </c>
      <c r="H53" s="321"/>
      <c r="I53" s="321"/>
      <c r="J53" s="321"/>
      <c r="K53" s="322"/>
      <c r="L53" s="323"/>
      <c r="M53" s="292"/>
    </row>
    <row r="54" spans="1:20">
      <c r="A54" s="273">
        <v>5</v>
      </c>
      <c r="B54" s="274"/>
      <c r="C54" s="324" t="s">
        <v>107</v>
      </c>
      <c r="D54" s="325" t="s">
        <v>81</v>
      </c>
      <c r="E54" s="325"/>
      <c r="F54" s="326">
        <v>28</v>
      </c>
      <c r="G54" s="326">
        <v>28</v>
      </c>
      <c r="H54" s="326"/>
      <c r="I54" s="326">
        <v>27</v>
      </c>
      <c r="J54" s="326">
        <v>1</v>
      </c>
      <c r="K54" s="326">
        <v>540</v>
      </c>
      <c r="L54" s="327" t="s">
        <v>108</v>
      </c>
      <c r="M54" s="309">
        <f>F54-I54-J54</f>
        <v>0</v>
      </c>
      <c r="R54">
        <f>G54-I54</f>
        <v>1</v>
      </c>
    </row>
    <row r="55" spans="1:20">
      <c r="A55" s="276"/>
      <c r="B55" s="274"/>
      <c r="C55" s="328"/>
      <c r="D55" s="325" t="s">
        <v>85</v>
      </c>
      <c r="E55" s="325"/>
      <c r="F55" s="326">
        <v>60</v>
      </c>
      <c r="G55" s="326">
        <v>60</v>
      </c>
      <c r="H55" s="326"/>
      <c r="I55" s="326">
        <v>28</v>
      </c>
      <c r="J55" s="326"/>
      <c r="K55" s="326">
        <v>450</v>
      </c>
      <c r="L55" s="323"/>
      <c r="M55" s="309">
        <f>F55-I55-J55</f>
        <v>32</v>
      </c>
      <c r="R55">
        <f>G55-I55</f>
        <v>32</v>
      </c>
    </row>
    <row r="56" spans="1:20">
      <c r="A56" s="276"/>
      <c r="B56" s="274"/>
      <c r="C56" s="328"/>
      <c r="D56" s="329" t="s">
        <v>81</v>
      </c>
      <c r="E56" s="329"/>
      <c r="F56" s="330">
        <v>20</v>
      </c>
      <c r="G56" s="330">
        <v>0</v>
      </c>
      <c r="H56" s="330">
        <f>20-J56</f>
        <v>0</v>
      </c>
      <c r="I56" s="330">
        <v>0</v>
      </c>
      <c r="J56" s="331">
        <v>20</v>
      </c>
      <c r="K56" s="330">
        <v>540</v>
      </c>
      <c r="L56" s="332" t="s">
        <v>109</v>
      </c>
      <c r="M56" s="309">
        <f>F56-I56-J56</f>
        <v>0</v>
      </c>
      <c r="R56">
        <f>G56-I56</f>
        <v>0</v>
      </c>
      <c r="T56" s="1">
        <v>4</v>
      </c>
    </row>
    <row r="57" spans="1:20">
      <c r="A57" s="276"/>
      <c r="B57" s="274"/>
      <c r="C57" s="328"/>
      <c r="D57" s="329" t="s">
        <v>85</v>
      </c>
      <c r="E57" s="329"/>
      <c r="F57" s="330">
        <v>30</v>
      </c>
      <c r="G57" s="330">
        <v>0</v>
      </c>
      <c r="H57" s="330">
        <f>F57-J57</f>
        <v>24</v>
      </c>
      <c r="I57" s="330">
        <v>0</v>
      </c>
      <c r="J57" s="330">
        <v>6</v>
      </c>
      <c r="K57" s="330">
        <v>450</v>
      </c>
      <c r="L57" s="332"/>
      <c r="M57" s="309">
        <f>F57-I57-J57</f>
        <v>24</v>
      </c>
      <c r="R57">
        <v>30</v>
      </c>
      <c r="T57" s="1">
        <v>1</v>
      </c>
    </row>
    <row r="58" ht="18.75" spans="1:20">
      <c r="A58" s="287"/>
      <c r="B58" s="274"/>
      <c r="C58" s="333"/>
      <c r="D58" s="334" t="s">
        <v>80</v>
      </c>
      <c r="E58" s="334"/>
      <c r="F58" s="335">
        <f>SUM(F54:F57)</f>
        <v>138</v>
      </c>
      <c r="G58" s="335"/>
      <c r="H58" s="335"/>
      <c r="I58" s="335">
        <f>SUM(I54:I57)</f>
        <v>55</v>
      </c>
      <c r="J58" s="335"/>
      <c r="K58" s="336"/>
      <c r="L58" s="337"/>
      <c r="M58" s="317">
        <f>SUM(M54:M57)</f>
        <v>56</v>
      </c>
    </row>
    <row r="59" ht="18.75" spans="1:20">
      <c r="A59" s="276"/>
      <c r="B59" s="274"/>
      <c r="C59" s="328"/>
      <c r="D59" s="338"/>
      <c r="E59" s="338"/>
      <c r="F59" s="339">
        <f>F54+F56</f>
        <v>48</v>
      </c>
      <c r="G59" s="339">
        <f>F58-F59</f>
        <v>90</v>
      </c>
      <c r="H59" s="263">
        <f>F59+G59*2</f>
        <v>228</v>
      </c>
      <c r="I59" s="339"/>
      <c r="J59" s="339"/>
      <c r="K59" s="340"/>
      <c r="L59" s="341"/>
      <c r="M59" s="292"/>
    </row>
    <row r="60" ht="17.65" customHeight="1" spans="1:20">
      <c r="A60" s="273">
        <v>6</v>
      </c>
      <c r="B60" s="274"/>
      <c r="C60" s="342" t="s">
        <v>14</v>
      </c>
      <c r="D60" s="343" t="s">
        <v>70</v>
      </c>
      <c r="E60" s="343"/>
      <c r="F60" s="344">
        <v>34</v>
      </c>
      <c r="G60" s="344">
        <v>6</v>
      </c>
      <c r="H60" s="344">
        <f>30-J60</f>
        <v>7</v>
      </c>
      <c r="I60" s="344">
        <v>11</v>
      </c>
      <c r="J60" s="344">
        <f>T60+U60+V60</f>
        <v>23</v>
      </c>
      <c r="K60" s="345">
        <v>280</v>
      </c>
      <c r="L60" s="346" t="s">
        <v>110</v>
      </c>
      <c r="M60" s="347">
        <f>F60-I60-J60</f>
        <v>0</v>
      </c>
      <c r="T60" s="1">
        <v>23</v>
      </c>
    </row>
    <row r="61" ht="17.65" customHeight="1" spans="1:20">
      <c r="A61" s="276"/>
      <c r="B61" s="274"/>
      <c r="C61" s="348"/>
      <c r="D61" s="349" t="s">
        <v>72</v>
      </c>
      <c r="E61" s="349"/>
      <c r="F61" s="350">
        <v>168</v>
      </c>
      <c r="G61" s="350">
        <v>168</v>
      </c>
      <c r="H61" s="350">
        <v>168</v>
      </c>
      <c r="I61" s="350">
        <v>6</v>
      </c>
      <c r="J61" s="350">
        <f>T61+U61+V61</f>
        <v>2</v>
      </c>
      <c r="K61" s="351">
        <v>280</v>
      </c>
      <c r="L61" s="352"/>
      <c r="M61" s="347">
        <f>F61-I61-J61</f>
        <v>160</v>
      </c>
      <c r="N61" s="3" t="s">
        <v>111</v>
      </c>
      <c r="T61" s="1">
        <v>2</v>
      </c>
    </row>
    <row r="62" ht="18.75" spans="1:20">
      <c r="A62" s="287"/>
      <c r="B62" s="274"/>
      <c r="C62" s="353"/>
      <c r="D62" s="354" t="s">
        <v>80</v>
      </c>
      <c r="E62" s="354"/>
      <c r="F62" s="355">
        <v>230</v>
      </c>
      <c r="G62" s="355"/>
      <c r="H62" s="355"/>
      <c r="I62" s="355">
        <f>SUM(I60:I61)</f>
        <v>17</v>
      </c>
      <c r="J62" s="355">
        <f>SUM(J60:J61)</f>
        <v>25</v>
      </c>
      <c r="K62" s="351"/>
      <c r="L62" s="356"/>
      <c r="M62" s="317">
        <f>SUM(M60:M61)</f>
        <v>160</v>
      </c>
    </row>
    <row r="63" ht="18.75" spans="1:20">
      <c r="A63" s="287"/>
      <c r="B63" s="274"/>
      <c r="C63" s="353"/>
      <c r="D63" s="354"/>
      <c r="E63" s="354"/>
      <c r="F63" s="355">
        <f>F60</f>
        <v>34</v>
      </c>
      <c r="G63" s="355">
        <f>F61</f>
        <v>168</v>
      </c>
      <c r="H63" s="355">
        <f>F63+G63*2</f>
        <v>370</v>
      </c>
      <c r="I63" s="355"/>
      <c r="J63" s="355"/>
      <c r="K63" s="351"/>
      <c r="L63" s="356"/>
      <c r="M63" s="292"/>
    </row>
    <row r="64" ht="27" spans="1:20">
      <c r="A64" s="251"/>
      <c r="B64" s="274"/>
      <c r="C64" s="357"/>
      <c r="D64" s="358" t="s">
        <v>39</v>
      </c>
      <c r="E64" s="358"/>
      <c r="F64" s="359">
        <f>F25+F34+F44+F58+F62+F52</f>
        <v>1203</v>
      </c>
      <c r="G64" s="359"/>
      <c r="H64" s="359"/>
      <c r="I64" s="359">
        <f>I58+I52+I44+I34+I25+I13</f>
        <v>570</v>
      </c>
      <c r="J64" s="359">
        <f>J58+J52+J44+J34+J25+J13</f>
        <v>257</v>
      </c>
      <c r="K64" s="360"/>
      <c r="L64" s="359"/>
      <c r="M64" s="361">
        <f>F64-I64-J64</f>
        <v>376</v>
      </c>
    </row>
    <row r="65" spans="1:18">
      <c r="A65" s="362"/>
      <c r="B65" s="362"/>
      <c r="C65" s="363"/>
      <c r="D65" s="364" t="s">
        <v>112</v>
      </c>
      <c r="E65" s="364"/>
      <c r="F65" s="365">
        <f>SUM(F17:F22)+SUM(F27:F30)++SUM(F36:F41)+SUM(F46:F51)++SUM(F54:F55)</f>
        <v>716</v>
      </c>
      <c r="G65" s="365"/>
      <c r="H65" s="365"/>
      <c r="I65" s="365">
        <f>I64+J64</f>
        <v>827</v>
      </c>
      <c r="J65" s="365"/>
      <c r="K65" s="366"/>
      <c r="L65" s="362"/>
    </row>
    <row r="66" spans="1:18">
      <c r="D66" s="365" t="s">
        <v>113</v>
      </c>
      <c r="E66" s="365"/>
      <c r="F66" s="365">
        <f>F64-F65-230</f>
        <v>257</v>
      </c>
      <c r="G66" s="365"/>
      <c r="H66" s="365"/>
      <c r="I66" s="365"/>
      <c r="J66" s="365"/>
    </row>
    <row r="67" spans="1:18">
      <c r="D67" s="367" t="s">
        <v>114</v>
      </c>
      <c r="E67" s="367"/>
      <c r="F67" s="367" t="s">
        <v>115</v>
      </c>
      <c r="G67" s="367"/>
      <c r="H67" s="367"/>
      <c r="I67" s="367"/>
      <c r="J67" s="367"/>
    </row>
    <row r="70" spans="1:18">
      <c r="C70" s="368" t="s">
        <v>116</v>
      </c>
      <c r="D70" s="368"/>
      <c r="E70" s="368"/>
      <c r="F70" s="368"/>
      <c r="G70" s="368"/>
      <c r="H70" s="368"/>
      <c r="I70" s="368"/>
      <c r="J70" s="368"/>
      <c r="K70" s="368"/>
      <c r="L70" s="369"/>
      <c r="M70" s="370"/>
      <c r="N70" s="369"/>
      <c r="O70" s="369"/>
      <c r="P70" s="369"/>
      <c r="Q70" s="369"/>
      <c r="R70" s="56"/>
    </row>
    <row r="73" spans="1:18">
      <c r="B73" s="371"/>
      <c r="C73" s="371"/>
      <c r="D73" s="371"/>
      <c r="E73" s="371"/>
      <c r="F73" s="371"/>
      <c r="G73" s="371"/>
      <c r="H73" s="371"/>
      <c r="I73" s="371"/>
    </row>
    <row r="74" spans="1:18">
      <c r="B74" s="371"/>
      <c r="C74" s="371"/>
      <c r="D74" s="371"/>
      <c r="E74" s="371"/>
      <c r="F74" s="371"/>
      <c r="G74" s="371"/>
      <c r="H74" s="371"/>
      <c r="I74" s="371"/>
    </row>
    <row r="75" spans="1:18">
      <c r="B75" s="371"/>
      <c r="C75" s="371"/>
      <c r="D75" s="371"/>
      <c r="E75" s="371"/>
      <c r="F75" s="371"/>
      <c r="G75" s="371"/>
      <c r="H75" s="371"/>
      <c r="I75" s="371"/>
    </row>
    <row r="76" spans="1:18">
      <c r="B76" s="371"/>
      <c r="C76" s="371"/>
      <c r="D76" s="371"/>
      <c r="E76" s="371"/>
      <c r="F76" s="371"/>
      <c r="G76" s="371"/>
      <c r="H76" s="371"/>
      <c r="I76" s="371"/>
    </row>
    <row r="77" spans="1:18">
      <c r="B77" s="371"/>
      <c r="C77" s="371"/>
      <c r="D77" s="371"/>
      <c r="E77" s="371"/>
      <c r="F77" s="371"/>
      <c r="G77" s="371"/>
      <c r="H77" s="371"/>
      <c r="I77" s="371"/>
    </row>
    <row r="78" spans="1:18">
      <c r="B78" s="371"/>
      <c r="C78" s="371"/>
      <c r="D78" s="371"/>
      <c r="E78" s="371"/>
      <c r="F78" s="371"/>
      <c r="G78" s="371"/>
      <c r="H78" s="371"/>
      <c r="I78" s="371"/>
    </row>
    <row r="79" spans="1:18">
      <c r="B79" s="371"/>
      <c r="C79" s="371"/>
      <c r="D79" s="371"/>
      <c r="E79" s="371"/>
      <c r="F79" s="371"/>
      <c r="G79" s="371"/>
      <c r="H79" s="371"/>
      <c r="I79" s="371"/>
    </row>
    <row r="80" spans="1:18">
      <c r="B80" s="371"/>
      <c r="C80" s="371"/>
      <c r="D80" s="371"/>
      <c r="E80" s="371"/>
      <c r="F80" s="371"/>
      <c r="G80" s="371"/>
      <c r="H80" s="371"/>
      <c r="I80" s="371"/>
    </row>
    <row r="81" spans="1:9">
      <c r="B81" s="371"/>
      <c r="C81" s="371"/>
      <c r="D81" s="371"/>
      <c r="E81" s="371"/>
      <c r="F81" s="371"/>
      <c r="G81" s="371"/>
      <c r="H81" s="371"/>
      <c r="I81" s="371"/>
    </row>
    <row r="82" spans="1:9">
      <c r="B82" s="371"/>
      <c r="C82" s="371"/>
      <c r="D82" s="371"/>
      <c r="E82" s="371"/>
      <c r="F82" s="371"/>
      <c r="G82" s="371"/>
      <c r="H82" s="371"/>
      <c r="I82" s="371"/>
    </row>
    <row r="83" spans="1:9">
      <c r="B83" s="245" t="s">
        <v>117</v>
      </c>
      <c r="C83" s="245" t="s">
        <v>118</v>
      </c>
      <c r="D83" s="245" t="s">
        <v>119</v>
      </c>
      <c r="E83" s="245"/>
      <c r="F83" s="245" t="s">
        <v>120</v>
      </c>
      <c r="G83" s="245" t="s">
        <v>121</v>
      </c>
      <c r="H83" s="245"/>
      <c r="I83" s="245" t="s">
        <v>122</v>
      </c>
    </row>
    <row r="84" spans="1:9">
      <c r="B84" s="165" t="s">
        <v>123</v>
      </c>
      <c r="C84" s="181">
        <v>125</v>
      </c>
      <c r="D84" s="372">
        <v>94</v>
      </c>
      <c r="E84" s="372"/>
      <c r="F84" s="181">
        <v>2</v>
      </c>
      <c r="G84" s="372">
        <v>58</v>
      </c>
      <c r="H84" s="372"/>
      <c r="I84" s="181">
        <f>C84+F84+G84</f>
        <v>185</v>
      </c>
    </row>
    <row r="85" spans="1:9">
      <c r="B85" s="165" t="s">
        <v>124</v>
      </c>
      <c r="C85" s="181">
        <v>198</v>
      </c>
      <c r="D85" s="372">
        <v>71</v>
      </c>
      <c r="E85" s="372"/>
      <c r="F85" s="181">
        <v>0</v>
      </c>
      <c r="G85" s="372">
        <v>75</v>
      </c>
      <c r="H85" s="372"/>
      <c r="I85" s="181">
        <f>C85+F85+G85</f>
        <v>273</v>
      </c>
    </row>
    <row r="86" spans="1:9">
      <c r="B86" s="165" t="s">
        <v>125</v>
      </c>
      <c r="C86" s="181">
        <v>148</v>
      </c>
      <c r="D86" s="372">
        <v>3</v>
      </c>
      <c r="E86" s="372"/>
      <c r="F86" s="181">
        <v>25</v>
      </c>
      <c r="G86" s="372">
        <f>72-F86</f>
        <v>47</v>
      </c>
      <c r="H86" s="372"/>
      <c r="I86" s="181">
        <f>C86+F86+G86</f>
        <v>220</v>
      </c>
    </row>
    <row r="87" spans="1:9">
      <c r="B87" s="165" t="s">
        <v>126</v>
      </c>
      <c r="C87" s="181">
        <v>136</v>
      </c>
      <c r="D87" s="372">
        <v>3</v>
      </c>
      <c r="E87" s="372"/>
      <c r="F87" s="181">
        <v>0</v>
      </c>
      <c r="G87" s="372">
        <v>0</v>
      </c>
      <c r="H87" s="372"/>
      <c r="I87" s="181">
        <v>136</v>
      </c>
    </row>
    <row r="88" spans="1:9">
      <c r="B88" s="250" t="s">
        <v>127</v>
      </c>
      <c r="C88" s="251">
        <v>153</v>
      </c>
      <c r="D88" s="277">
        <v>152</v>
      </c>
      <c r="E88" s="277"/>
      <c r="F88" s="251">
        <v>0</v>
      </c>
      <c r="G88" s="277">
        <v>50</v>
      </c>
      <c r="H88" s="277"/>
      <c r="I88" s="251">
        <f>C88+G88</f>
        <v>203</v>
      </c>
    </row>
    <row r="89" spans="1:9">
      <c r="B89" s="250" t="s">
        <v>122</v>
      </c>
      <c r="C89" s="251">
        <f>SUM(C84:C88)</f>
        <v>760</v>
      </c>
      <c r="D89" s="296">
        <f>SUM(D84:D88)</f>
        <v>323</v>
      </c>
      <c r="E89" s="296"/>
      <c r="F89" s="251">
        <f>SUM(F84:F88)</f>
        <v>27</v>
      </c>
      <c r="G89" s="296">
        <f>SUM(G84:G88)</f>
        <v>230</v>
      </c>
      <c r="H89" s="296"/>
      <c r="I89" s="251">
        <f>SUM(I84:I88)</f>
        <v>1017</v>
      </c>
    </row>
    <row r="91" spans="1:9">
      <c r="A91" s="373"/>
      <c r="B91" s="245" t="s">
        <v>128</v>
      </c>
      <c r="C91" s="245" t="s">
        <v>129</v>
      </c>
      <c r="D91" s="245" t="s">
        <v>130</v>
      </c>
      <c r="E91" s="245"/>
      <c r="F91" s="245" t="s">
        <v>131</v>
      </c>
    </row>
    <row r="92" spans="1:9">
      <c r="A92" s="181"/>
      <c r="B92" s="181" t="s">
        <v>132</v>
      </c>
      <c r="C92" s="181">
        <v>200</v>
      </c>
      <c r="D92" s="181">
        <v>21</v>
      </c>
      <c r="E92" s="181"/>
      <c r="F92" s="181">
        <f>C92-D92</f>
        <v>179</v>
      </c>
    </row>
    <row r="93" spans="1:9">
      <c r="A93" s="181"/>
      <c r="B93" s="181" t="s">
        <v>16</v>
      </c>
      <c r="C93" s="181">
        <f>69+69+46</f>
        <v>184</v>
      </c>
      <c r="D93" s="181">
        <f>63+41+46</f>
        <v>150</v>
      </c>
      <c r="E93" s="181"/>
      <c r="F93" s="181">
        <f>C93-D93</f>
        <v>34</v>
      </c>
    </row>
    <row r="94" spans="1:9">
      <c r="A94" s="181"/>
      <c r="B94" s="181" t="s">
        <v>17</v>
      </c>
      <c r="C94" s="181">
        <v>60</v>
      </c>
      <c r="D94" s="181">
        <v>60</v>
      </c>
      <c r="E94" s="181"/>
      <c r="F94" s="181">
        <f>C94-D94</f>
        <v>0</v>
      </c>
    </row>
    <row r="95" spans="1:9">
      <c r="A95" s="181"/>
      <c r="B95" s="181" t="s">
        <v>18</v>
      </c>
      <c r="C95" s="181">
        <v>36</v>
      </c>
      <c r="D95" s="181">
        <v>36</v>
      </c>
      <c r="E95" s="181"/>
      <c r="F95" s="181">
        <f t="shared" ref="F95:F124" si="6">C95-D95</f>
        <v>0</v>
      </c>
    </row>
    <row r="96" spans="1:9">
      <c r="A96" s="181"/>
      <c r="B96" s="181" t="s">
        <v>19</v>
      </c>
      <c r="C96" s="181">
        <v>60</v>
      </c>
      <c r="D96" s="181">
        <v>60</v>
      </c>
      <c r="E96" s="181"/>
      <c r="F96" s="181">
        <f t="shared" si="6"/>
        <v>0</v>
      </c>
    </row>
    <row r="97" spans="1:6">
      <c r="A97" s="181"/>
      <c r="B97" s="181" t="s">
        <v>20</v>
      </c>
      <c r="C97" s="181">
        <v>49</v>
      </c>
      <c r="D97" s="181">
        <v>35</v>
      </c>
      <c r="E97" s="181"/>
      <c r="F97" s="181">
        <f t="shared" si="6"/>
        <v>14</v>
      </c>
    </row>
    <row r="98" spans="1:6">
      <c r="A98" s="181"/>
      <c r="B98" s="181" t="s">
        <v>21</v>
      </c>
      <c r="C98" s="181">
        <v>184</v>
      </c>
      <c r="D98" s="181">
        <v>10</v>
      </c>
      <c r="E98" s="181"/>
      <c r="F98" s="181">
        <f t="shared" si="6"/>
        <v>174</v>
      </c>
    </row>
    <row r="99" spans="1:6">
      <c r="A99" s="181"/>
      <c r="B99" s="181" t="s">
        <v>22</v>
      </c>
      <c r="C99" s="181">
        <v>60</v>
      </c>
      <c r="D99" s="181">
        <v>32</v>
      </c>
      <c r="E99" s="181"/>
      <c r="F99" s="181">
        <f t="shared" si="6"/>
        <v>28</v>
      </c>
    </row>
    <row r="100" spans="1:6">
      <c r="A100" s="181"/>
      <c r="B100" s="181" t="s">
        <v>23</v>
      </c>
      <c r="C100" s="181">
        <v>121</v>
      </c>
      <c r="D100" s="181">
        <v>6</v>
      </c>
      <c r="E100" s="181"/>
      <c r="F100" s="181">
        <f t="shared" si="6"/>
        <v>115</v>
      </c>
    </row>
    <row r="101" spans="1:6">
      <c r="A101" s="181"/>
      <c r="B101" s="181" t="s">
        <v>24</v>
      </c>
      <c r="C101" s="181">
        <v>63</v>
      </c>
      <c r="D101" s="181">
        <v>49</v>
      </c>
      <c r="E101" s="181"/>
      <c r="F101" s="181">
        <f t="shared" si="6"/>
        <v>14</v>
      </c>
    </row>
    <row r="102" spans="1:6">
      <c r="A102" s="181"/>
      <c r="B102" s="374" t="s">
        <v>133</v>
      </c>
      <c r="C102" s="375">
        <v>144</v>
      </c>
      <c r="D102" s="181">
        <v>57</v>
      </c>
      <c r="E102" s="181"/>
      <c r="F102" s="181">
        <f t="shared" si="6"/>
        <v>87</v>
      </c>
    </row>
    <row r="103" spans="1:6">
      <c r="A103" s="181"/>
      <c r="B103" s="163" t="s">
        <v>25</v>
      </c>
      <c r="C103" s="375">
        <v>120</v>
      </c>
      <c r="D103" s="181">
        <v>0</v>
      </c>
      <c r="E103" s="181"/>
      <c r="F103" s="181">
        <f t="shared" si="6"/>
        <v>120</v>
      </c>
    </row>
    <row r="104" spans="1:6">
      <c r="A104" s="181"/>
      <c r="B104" s="163" t="s">
        <v>26</v>
      </c>
      <c r="C104" s="375">
        <v>35</v>
      </c>
      <c r="D104" s="181">
        <v>0</v>
      </c>
      <c r="E104" s="181"/>
      <c r="F104" s="181">
        <f t="shared" si="6"/>
        <v>35</v>
      </c>
    </row>
    <row r="105" spans="1:6">
      <c r="A105" s="181"/>
      <c r="B105" s="165" t="s">
        <v>27</v>
      </c>
      <c r="C105" s="375">
        <v>30</v>
      </c>
      <c r="D105" s="181">
        <v>14</v>
      </c>
      <c r="E105" s="181"/>
      <c r="F105" s="181">
        <f t="shared" si="6"/>
        <v>16</v>
      </c>
    </row>
    <row r="106" spans="1:6">
      <c r="A106" s="181"/>
      <c r="B106" s="163" t="s">
        <v>134</v>
      </c>
      <c r="C106" s="375">
        <v>100</v>
      </c>
      <c r="D106" s="181">
        <v>1</v>
      </c>
      <c r="E106" s="181"/>
      <c r="F106" s="181">
        <f t="shared" si="6"/>
        <v>99</v>
      </c>
    </row>
    <row r="107" spans="1:6">
      <c r="A107" s="181"/>
      <c r="B107" s="165" t="s">
        <v>29</v>
      </c>
      <c r="C107" s="375">
        <v>90</v>
      </c>
      <c r="D107" s="181">
        <v>0</v>
      </c>
      <c r="E107" s="181"/>
      <c r="F107" s="181">
        <f t="shared" si="6"/>
        <v>90</v>
      </c>
    </row>
    <row r="108" spans="1:6">
      <c r="A108" s="181"/>
      <c r="B108" s="165" t="s">
        <v>135</v>
      </c>
      <c r="C108" s="375">
        <v>110</v>
      </c>
      <c r="D108" s="181">
        <v>0</v>
      </c>
      <c r="E108" s="181"/>
      <c r="F108" s="181">
        <f t="shared" si="6"/>
        <v>110</v>
      </c>
    </row>
    <row r="109" spans="1:6">
      <c r="A109" s="181"/>
      <c r="B109" s="165" t="s">
        <v>136</v>
      </c>
      <c r="C109" s="375">
        <v>100</v>
      </c>
      <c r="D109" s="181">
        <v>0</v>
      </c>
      <c r="E109" s="181"/>
      <c r="F109" s="181">
        <f t="shared" si="6"/>
        <v>100</v>
      </c>
    </row>
    <row r="110" spans="1:6">
      <c r="A110" s="181"/>
      <c r="B110" s="165" t="s">
        <v>137</v>
      </c>
      <c r="C110" s="375">
        <v>60</v>
      </c>
      <c r="D110" s="181">
        <v>0</v>
      </c>
      <c r="E110" s="181"/>
      <c r="F110" s="181">
        <f t="shared" si="6"/>
        <v>60</v>
      </c>
    </row>
    <row r="111" spans="1:6">
      <c r="A111" s="181"/>
      <c r="B111" s="165" t="s">
        <v>31</v>
      </c>
      <c r="C111" s="375">
        <v>68</v>
      </c>
      <c r="D111" s="181">
        <v>0</v>
      </c>
      <c r="E111" s="181"/>
      <c r="F111" s="181">
        <f t="shared" si="6"/>
        <v>68</v>
      </c>
    </row>
    <row r="112" spans="1:6">
      <c r="A112" s="181"/>
      <c r="B112" s="376" t="s">
        <v>138</v>
      </c>
      <c r="C112" s="375">
        <v>38</v>
      </c>
      <c r="D112" s="165">
        <v>12</v>
      </c>
      <c r="E112" s="165"/>
      <c r="F112" s="181">
        <f t="shared" si="6"/>
        <v>26</v>
      </c>
    </row>
    <row r="113" spans="1:6">
      <c r="A113" s="181"/>
      <c r="B113" s="376" t="s">
        <v>139</v>
      </c>
      <c r="C113" s="375">
        <v>58</v>
      </c>
      <c r="D113" s="181">
        <v>0</v>
      </c>
      <c r="E113" s="181"/>
      <c r="F113" s="181">
        <f t="shared" si="6"/>
        <v>58</v>
      </c>
    </row>
    <row r="114" spans="1:6">
      <c r="A114" s="181"/>
      <c r="B114" s="163" t="s">
        <v>140</v>
      </c>
      <c r="C114" s="375">
        <v>35</v>
      </c>
      <c r="D114" s="181">
        <v>0</v>
      </c>
      <c r="E114" s="181"/>
      <c r="F114" s="181">
        <f t="shared" si="6"/>
        <v>35</v>
      </c>
    </row>
    <row r="115" spans="1:6">
      <c r="A115" s="181"/>
      <c r="B115" s="377"/>
      <c r="C115" s="375">
        <v>21</v>
      </c>
      <c r="D115" s="181">
        <v>0</v>
      </c>
      <c r="E115" s="181"/>
      <c r="F115" s="181">
        <f t="shared" si="6"/>
        <v>21</v>
      </c>
    </row>
    <row r="116" spans="1:6">
      <c r="A116" s="181"/>
      <c r="B116" s="163" t="s">
        <v>141</v>
      </c>
      <c r="C116" s="375">
        <v>45</v>
      </c>
      <c r="D116" s="181">
        <v>0</v>
      </c>
      <c r="E116" s="181"/>
      <c r="F116" s="181">
        <f t="shared" si="6"/>
        <v>45</v>
      </c>
    </row>
    <row r="117" spans="1:6">
      <c r="A117" s="181"/>
      <c r="B117" s="377"/>
      <c r="C117" s="375">
        <v>55</v>
      </c>
      <c r="D117" s="181">
        <v>0</v>
      </c>
      <c r="E117" s="181"/>
      <c r="F117" s="181">
        <f t="shared" si="6"/>
        <v>55</v>
      </c>
    </row>
    <row r="118" spans="1:6">
      <c r="A118" s="181"/>
      <c r="B118" s="163" t="s">
        <v>142</v>
      </c>
      <c r="C118" s="375">
        <v>100</v>
      </c>
      <c r="D118" s="181">
        <v>0</v>
      </c>
      <c r="E118" s="181"/>
      <c r="F118" s="181">
        <f t="shared" si="6"/>
        <v>100</v>
      </c>
    </row>
    <row r="119" spans="1:6">
      <c r="A119" s="181"/>
      <c r="B119" s="165" t="s">
        <v>143</v>
      </c>
      <c r="C119" s="375">
        <v>60</v>
      </c>
      <c r="D119" s="181">
        <v>0</v>
      </c>
      <c r="E119" s="181"/>
      <c r="F119" s="181">
        <f t="shared" si="6"/>
        <v>60</v>
      </c>
    </row>
    <row r="120" spans="1:6">
      <c r="A120" s="181"/>
      <c r="B120" s="165" t="s">
        <v>144</v>
      </c>
      <c r="C120" s="375">
        <v>190</v>
      </c>
      <c r="D120" s="181">
        <v>0</v>
      </c>
      <c r="E120" s="181"/>
      <c r="F120" s="181">
        <f t="shared" si="6"/>
        <v>190</v>
      </c>
    </row>
    <row r="121" spans="1:6">
      <c r="A121" s="181"/>
      <c r="B121" s="163" t="s">
        <v>145</v>
      </c>
      <c r="C121" s="375">
        <v>120</v>
      </c>
      <c r="D121" s="181">
        <v>0</v>
      </c>
      <c r="E121" s="181"/>
      <c r="F121" s="181">
        <f t="shared" si="6"/>
        <v>120</v>
      </c>
    </row>
    <row r="122" spans="1:6">
      <c r="A122" s="181"/>
      <c r="B122" s="163" t="s">
        <v>146</v>
      </c>
      <c r="C122" s="375">
        <v>100</v>
      </c>
      <c r="D122" s="181">
        <v>0</v>
      </c>
      <c r="E122" s="181"/>
      <c r="F122" s="181">
        <f t="shared" si="6"/>
        <v>100</v>
      </c>
    </row>
    <row r="123" spans="1:6">
      <c r="A123" s="181"/>
      <c r="B123" s="165" t="s">
        <v>147</v>
      </c>
      <c r="C123" s="378">
        <v>40</v>
      </c>
      <c r="D123" s="181">
        <v>0</v>
      </c>
      <c r="E123" s="181"/>
      <c r="F123" s="181">
        <f t="shared" si="6"/>
        <v>40</v>
      </c>
    </row>
    <row r="124" spans="1:6">
      <c r="A124" s="181"/>
      <c r="B124" s="165" t="s">
        <v>148</v>
      </c>
      <c r="C124" s="181">
        <v>80</v>
      </c>
      <c r="D124" s="181">
        <v>0</v>
      </c>
      <c r="E124" s="181"/>
      <c r="F124" s="181">
        <f t="shared" si="6"/>
        <v>80</v>
      </c>
    </row>
    <row r="125" spans="1:6">
      <c r="A125" s="181"/>
      <c r="B125" s="165" t="s">
        <v>122</v>
      </c>
      <c r="C125" s="379">
        <f>SUM(C92:C124)</f>
        <v>2816</v>
      </c>
      <c r="D125" s="379">
        <f>SUM(D92:D124)</f>
        <v>543</v>
      </c>
      <c r="E125" s="379"/>
      <c r="F125" s="379">
        <f>SUM(F92:F124)</f>
        <v>2273</v>
      </c>
    </row>
  </sheetData>
  <sheetProtection formatCells="0" formatColumns="0" formatRows="0" insertRows="0" insertColumns="0" insertHyperlinks="0" deleteColumns="0" deleteRows="0" sort="0" autoFilter="0" pivotTables="0"/>
  <mergeCells count="33">
    <mergeCell ref="A1:K1"/>
    <mergeCell ref="A14:L14"/>
    <mergeCell ref="A6:A7"/>
    <mergeCell ref="A8:A11"/>
    <mergeCell ref="A17:A25"/>
    <mergeCell ref="A27:A34"/>
    <mergeCell ref="A36:A44"/>
    <mergeCell ref="A46:A52"/>
    <mergeCell ref="A54:A58"/>
    <mergeCell ref="A60:A62"/>
    <mergeCell ref="B5:B12"/>
    <mergeCell ref="B17:B64"/>
    <mergeCell ref="B114:B115"/>
    <mergeCell ref="B116:B117"/>
    <mergeCell ref="C6:C7"/>
    <mergeCell ref="C8:C11"/>
    <mergeCell ref="C17:C25"/>
    <mergeCell ref="C27:C34"/>
    <mergeCell ref="C36:C44"/>
    <mergeCell ref="C46:C52"/>
    <mergeCell ref="C54:C58"/>
    <mergeCell ref="C60:C62"/>
    <mergeCell ref="L5:L12"/>
    <mergeCell ref="L17:L21"/>
    <mergeCell ref="L23:L24"/>
    <mergeCell ref="L27:L30"/>
    <mergeCell ref="L31:L33"/>
    <mergeCell ref="L38:L41"/>
    <mergeCell ref="L42:L43"/>
    <mergeCell ref="L46:L52"/>
    <mergeCell ref="L54:L55"/>
    <mergeCell ref="L56:L57"/>
    <mergeCell ref="L60:L62"/>
  </mergeCells>
  <pageMargins left="0.7" right="0.7" top="0.75" bottom="0.75" header="0.3" footer="0.3"/>
  <pageSetup paperSize="9" scale="5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zoomScale="70" zoomScaleNormal="70" workbookViewId="0">
      <pane xSplit="3" ySplit="3" topLeftCell="D4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3.5"/>
  <cols>
    <col min="2" max="2" width="9.09166666666667" customWidth="1"/>
    <col min="3" max="3" width="51" customWidth="1"/>
    <col min="4" max="4" width="16.0916666666667" style="1" customWidth="1"/>
    <col min="5" max="5" width="14.0916666666667" style="1" customWidth="1"/>
    <col min="6" max="6" width="30.0916666666667" style="1" customWidth="1"/>
    <col min="7" max="7" width="11.45" customWidth="1"/>
    <col min="8" max="8" width="16.1833333333333" customWidth="1"/>
    <col min="9" max="9" width="19.3666666666667" customWidth="1"/>
    <col min="10" max="10" width="14.1833333333333" customWidth="1"/>
    <col min="11" max="11" width="28.8166666666667" customWidth="1"/>
    <col min="12" max="12" width="16" customWidth="1"/>
    <col min="13" max="13" width="12.3666666666667" customWidth="1"/>
    <col min="14" max="14" width="14.725" customWidth="1"/>
    <col min="15" max="15" width="10.725" customWidth="1"/>
    <col min="16" max="16" width="13.5416666666667" customWidth="1"/>
    <col min="17" max="17" width="18.6333333333333" customWidth="1"/>
  </cols>
  <sheetData>
    <row r="1" ht="53.15" customHeight="1" spans="1:17">
      <c r="A1" s="194" t="s">
        <v>149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200"/>
      <c r="N1" s="194"/>
    </row>
    <row r="2" ht="30" customHeight="1" spans="1:17">
      <c r="A2" s="201" t="s">
        <v>150</v>
      </c>
      <c r="B2" s="201" t="s">
        <v>1</v>
      </c>
      <c r="C2" s="201" t="s">
        <v>2</v>
      </c>
      <c r="D2" s="202" t="s">
        <v>151</v>
      </c>
      <c r="E2" s="201" t="s">
        <v>152</v>
      </c>
      <c r="F2" s="203" t="s">
        <v>153</v>
      </c>
      <c r="G2" s="203"/>
      <c r="H2" s="203"/>
      <c r="I2" s="203"/>
      <c r="J2" s="203"/>
      <c r="K2" s="203" t="s">
        <v>154</v>
      </c>
      <c r="L2" s="203"/>
      <c r="M2" s="203"/>
      <c r="N2" s="204"/>
      <c r="O2" s="199"/>
    </row>
    <row r="3" s="58" customFormat="1" ht="67.15" customHeight="1" spans="1:17">
      <c r="A3" s="205"/>
      <c r="B3" s="205"/>
      <c r="C3" s="205"/>
      <c r="D3" s="206"/>
      <c r="E3" s="205"/>
      <c r="F3" s="207" t="s">
        <v>155</v>
      </c>
      <c r="G3" s="208" t="s">
        <v>156</v>
      </c>
      <c r="H3" s="207" t="s">
        <v>42</v>
      </c>
      <c r="I3" s="208" t="s">
        <v>157</v>
      </c>
      <c r="J3" s="208" t="s">
        <v>158</v>
      </c>
      <c r="K3" s="207" t="s">
        <v>155</v>
      </c>
      <c r="L3" s="207" t="s">
        <v>156</v>
      </c>
      <c r="M3" s="207" t="s">
        <v>42</v>
      </c>
      <c r="N3" s="208" t="s">
        <v>157</v>
      </c>
      <c r="O3" s="208" t="s">
        <v>159</v>
      </c>
    </row>
    <row r="4" ht="62.15" customHeight="1" spans="1:17">
      <c r="A4" s="209"/>
      <c r="B4" s="210">
        <v>1</v>
      </c>
      <c r="C4" s="207" t="s">
        <v>132</v>
      </c>
      <c r="D4" s="170">
        <v>60</v>
      </c>
      <c r="E4" s="210" t="s">
        <v>160</v>
      </c>
      <c r="F4" s="210"/>
      <c r="G4" s="211"/>
      <c r="H4" s="212"/>
      <c r="I4" s="213"/>
      <c r="J4" s="213"/>
      <c r="K4" s="213" t="s">
        <v>161</v>
      </c>
      <c r="L4" s="211" t="s">
        <v>162</v>
      </c>
      <c r="M4" s="170">
        <v>100</v>
      </c>
      <c r="N4" s="213">
        <v>55</v>
      </c>
      <c r="O4" s="199"/>
      <c r="P4" s="159"/>
    </row>
    <row r="5" ht="30" customHeight="1" spans="1:17">
      <c r="A5" s="209"/>
      <c r="B5" s="210">
        <v>2</v>
      </c>
      <c r="C5" s="212" t="s">
        <v>16</v>
      </c>
      <c r="D5" s="210">
        <f>H5+M5</f>
        <v>184</v>
      </c>
      <c r="E5" s="210" t="s">
        <v>160</v>
      </c>
      <c r="F5" s="210" t="s">
        <v>163</v>
      </c>
      <c r="G5" s="211">
        <v>200</v>
      </c>
      <c r="H5" s="212">
        <v>69</v>
      </c>
      <c r="I5" s="213">
        <v>69</v>
      </c>
      <c r="J5" s="214">
        <v>0</v>
      </c>
      <c r="K5" s="212" t="s">
        <v>164</v>
      </c>
      <c r="L5" s="215" t="s">
        <v>162</v>
      </c>
      <c r="M5" s="170">
        <v>115</v>
      </c>
      <c r="N5" s="214">
        <v>69</v>
      </c>
      <c r="O5" s="214">
        <v>46</v>
      </c>
      <c r="P5" s="159" t="s">
        <v>12</v>
      </c>
    </row>
    <row r="6" ht="30" customHeight="1" spans="1:17">
      <c r="A6" s="209"/>
      <c r="B6" s="139">
        <v>3</v>
      </c>
      <c r="C6" s="216" t="s">
        <v>17</v>
      </c>
      <c r="D6" s="139">
        <f>H6+H7+M6+M7</f>
        <v>60</v>
      </c>
      <c r="E6" s="139" t="s">
        <v>160</v>
      </c>
      <c r="F6" s="149" t="s">
        <v>165</v>
      </c>
      <c r="G6" s="211">
        <v>450</v>
      </c>
      <c r="H6" s="212">
        <v>20</v>
      </c>
      <c r="I6" s="213">
        <v>20</v>
      </c>
      <c r="J6" s="213"/>
      <c r="K6" s="213" t="s">
        <v>90</v>
      </c>
      <c r="L6" s="211" t="s">
        <v>162</v>
      </c>
      <c r="M6" s="212">
        <v>10</v>
      </c>
      <c r="N6" s="213">
        <v>10</v>
      </c>
      <c r="O6" s="199"/>
      <c r="P6" s="159" t="s">
        <v>12</v>
      </c>
      <c r="Q6" s="217"/>
    </row>
    <row r="7" ht="30" customHeight="1" spans="1:17">
      <c r="A7" s="209"/>
      <c r="B7" s="146"/>
      <c r="C7" s="218"/>
      <c r="D7" s="146"/>
      <c r="E7" s="146"/>
      <c r="F7" s="149" t="s">
        <v>166</v>
      </c>
      <c r="G7" s="211">
        <v>500</v>
      </c>
      <c r="H7" s="212">
        <v>20</v>
      </c>
      <c r="I7" s="213">
        <v>20</v>
      </c>
      <c r="J7" s="213"/>
      <c r="K7" s="213" t="s">
        <v>167</v>
      </c>
      <c r="L7" s="211">
        <v>450</v>
      </c>
      <c r="M7" s="212">
        <v>10</v>
      </c>
      <c r="N7" s="213">
        <v>10</v>
      </c>
      <c r="O7" s="199"/>
      <c r="P7" s="159" t="s">
        <v>12</v>
      </c>
      <c r="Q7" s="217"/>
    </row>
    <row r="8" ht="30" customHeight="1" spans="1:17">
      <c r="A8" s="209"/>
      <c r="B8" s="139">
        <v>4</v>
      </c>
      <c r="C8" s="219" t="s">
        <v>18</v>
      </c>
      <c r="D8" s="139">
        <f>H8+H9+M8+M9</f>
        <v>36</v>
      </c>
      <c r="E8" s="220" t="s">
        <v>160</v>
      </c>
      <c r="F8" s="149" t="s">
        <v>168</v>
      </c>
      <c r="G8" s="211">
        <v>356</v>
      </c>
      <c r="H8" s="212">
        <v>20</v>
      </c>
      <c r="I8" s="218">
        <v>20</v>
      </c>
      <c r="J8" s="218"/>
      <c r="K8" s="148" t="s">
        <v>169</v>
      </c>
      <c r="L8" s="211">
        <v>500</v>
      </c>
      <c r="M8" s="155">
        <v>8</v>
      </c>
      <c r="N8" s="213">
        <v>8</v>
      </c>
      <c r="O8" s="199"/>
      <c r="P8" s="159" t="s">
        <v>12</v>
      </c>
      <c r="Q8" s="217"/>
    </row>
    <row r="9" ht="30" customHeight="1" spans="1:17">
      <c r="A9" s="209"/>
      <c r="B9" s="146"/>
      <c r="C9" s="218"/>
      <c r="D9" s="146"/>
      <c r="E9" s="148"/>
      <c r="F9" s="149"/>
      <c r="G9" s="211"/>
      <c r="H9" s="212"/>
      <c r="I9" s="218"/>
      <c r="J9" s="218"/>
      <c r="K9" s="218" t="s">
        <v>170</v>
      </c>
      <c r="L9" s="221">
        <v>311</v>
      </c>
      <c r="M9" s="155">
        <v>8</v>
      </c>
      <c r="N9" s="218">
        <v>8</v>
      </c>
      <c r="O9" s="199"/>
      <c r="P9" s="159" t="s">
        <v>12</v>
      </c>
      <c r="Q9" s="217"/>
    </row>
    <row r="10" ht="45" customHeight="1" spans="1:17">
      <c r="A10" s="209"/>
      <c r="B10" s="210">
        <v>5</v>
      </c>
      <c r="C10" s="213" t="s">
        <v>19</v>
      </c>
      <c r="D10" s="210">
        <f>H10+M10</f>
        <v>60</v>
      </c>
      <c r="E10" s="148" t="s">
        <v>160</v>
      </c>
      <c r="F10" s="149" t="s">
        <v>171</v>
      </c>
      <c r="G10" s="211">
        <v>318</v>
      </c>
      <c r="H10" s="212">
        <v>40</v>
      </c>
      <c r="I10" s="218">
        <v>40</v>
      </c>
      <c r="J10" s="218"/>
      <c r="K10" s="218" t="s">
        <v>172</v>
      </c>
      <c r="L10" s="221">
        <v>359</v>
      </c>
      <c r="M10" s="155">
        <v>20</v>
      </c>
      <c r="N10" s="218">
        <v>20</v>
      </c>
      <c r="O10" s="199"/>
      <c r="P10" s="159" t="s">
        <v>12</v>
      </c>
      <c r="Q10" s="217"/>
    </row>
    <row r="11" ht="30" customHeight="1" spans="1:17">
      <c r="A11" s="222"/>
      <c r="B11" s="210">
        <v>6</v>
      </c>
      <c r="C11" s="219" t="s">
        <v>20</v>
      </c>
      <c r="D11" s="170">
        <f t="shared" ref="D11:D14" si="0">H11+M11</f>
        <v>50</v>
      </c>
      <c r="E11" s="223" t="s">
        <v>173</v>
      </c>
      <c r="F11" s="149" t="s">
        <v>174</v>
      </c>
      <c r="G11" s="211">
        <v>200</v>
      </c>
      <c r="H11" s="212">
        <v>30</v>
      </c>
      <c r="I11" s="218">
        <v>30</v>
      </c>
      <c r="J11" s="218"/>
      <c r="K11" s="218" t="s">
        <v>175</v>
      </c>
      <c r="L11" s="221">
        <v>338</v>
      </c>
      <c r="M11" s="155">
        <v>20</v>
      </c>
      <c r="N11" s="219">
        <v>19</v>
      </c>
      <c r="O11" s="199">
        <v>1</v>
      </c>
      <c r="P11" s="159" t="s">
        <v>12</v>
      </c>
      <c r="Q11" s="217"/>
    </row>
    <row r="12" ht="30" customHeight="1" spans="1:17">
      <c r="A12" s="181" t="s">
        <v>176</v>
      </c>
      <c r="B12" s="224">
        <v>7</v>
      </c>
      <c r="C12" s="212" t="s">
        <v>21</v>
      </c>
      <c r="D12" s="210">
        <f t="shared" si="0"/>
        <v>125</v>
      </c>
      <c r="E12" s="210" t="s">
        <v>160</v>
      </c>
      <c r="F12" s="210" t="s">
        <v>177</v>
      </c>
      <c r="G12" s="211">
        <v>260</v>
      </c>
      <c r="H12" s="225">
        <v>54</v>
      </c>
      <c r="I12" s="213">
        <v>44</v>
      </c>
      <c r="J12" s="213">
        <v>10</v>
      </c>
      <c r="K12" s="212" t="s">
        <v>161</v>
      </c>
      <c r="L12" s="221">
        <v>200</v>
      </c>
      <c r="M12" s="212">
        <v>71</v>
      </c>
      <c r="N12" s="213">
        <v>61</v>
      </c>
      <c r="O12" s="199">
        <v>10</v>
      </c>
      <c r="P12" s="159">
        <f>H12-I12-J12-N12-O12+M12</f>
        <v>0</v>
      </c>
      <c r="Q12" s="159" t="s">
        <v>12</v>
      </c>
    </row>
    <row r="13" ht="30" customHeight="1" spans="1:17">
      <c r="A13" s="181"/>
      <c r="B13" s="224">
        <v>8</v>
      </c>
      <c r="C13" s="212" t="s">
        <v>22</v>
      </c>
      <c r="D13" s="210">
        <f t="shared" si="0"/>
        <v>47</v>
      </c>
      <c r="E13" s="210" t="s">
        <v>160</v>
      </c>
      <c r="F13" s="210" t="s">
        <v>177</v>
      </c>
      <c r="G13" s="211">
        <v>299</v>
      </c>
      <c r="H13" s="212">
        <v>32</v>
      </c>
      <c r="I13" s="213">
        <v>32</v>
      </c>
      <c r="J13" s="213"/>
      <c r="K13" s="212" t="s">
        <v>161</v>
      </c>
      <c r="L13" s="211">
        <v>260</v>
      </c>
      <c r="M13" s="212">
        <v>15</v>
      </c>
      <c r="N13" s="213">
        <v>15</v>
      </c>
      <c r="O13" s="199"/>
      <c r="P13" s="159" t="s">
        <v>12</v>
      </c>
      <c r="Q13" s="3"/>
    </row>
    <row r="14" ht="30" customHeight="1" spans="1:17">
      <c r="A14" s="181"/>
      <c r="B14" s="224">
        <v>9</v>
      </c>
      <c r="C14" s="212" t="s">
        <v>23</v>
      </c>
      <c r="D14" s="210">
        <f t="shared" si="0"/>
        <v>75</v>
      </c>
      <c r="E14" s="210" t="s">
        <v>160</v>
      </c>
      <c r="F14" s="210" t="s">
        <v>177</v>
      </c>
      <c r="G14" s="211">
        <v>289</v>
      </c>
      <c r="H14" s="212">
        <v>40</v>
      </c>
      <c r="I14" s="213">
        <v>40</v>
      </c>
      <c r="J14" s="213"/>
      <c r="K14" s="212" t="s">
        <v>161</v>
      </c>
      <c r="L14" s="211">
        <v>299</v>
      </c>
      <c r="M14" s="212">
        <v>35</v>
      </c>
      <c r="N14" s="213">
        <v>35</v>
      </c>
      <c r="O14" s="199"/>
      <c r="P14" s="159" t="s">
        <v>12</v>
      </c>
    </row>
    <row r="15" ht="30" customHeight="1" spans="1:17">
      <c r="A15" s="226"/>
      <c r="B15" s="185">
        <v>10</v>
      </c>
      <c r="C15" s="227" t="s">
        <v>24</v>
      </c>
      <c r="D15" s="210">
        <f>H15+M15+H16</f>
        <v>62</v>
      </c>
      <c r="E15" s="139" t="s">
        <v>160</v>
      </c>
      <c r="F15" s="210" t="s">
        <v>177</v>
      </c>
      <c r="G15" s="228">
        <v>300</v>
      </c>
      <c r="H15" s="227">
        <v>30</v>
      </c>
      <c r="I15" s="216">
        <v>30</v>
      </c>
      <c r="J15" s="216"/>
      <c r="K15" s="212" t="s">
        <v>161</v>
      </c>
      <c r="L15" s="211">
        <v>289</v>
      </c>
      <c r="M15" s="227">
        <v>30</v>
      </c>
      <c r="N15" s="216">
        <v>30</v>
      </c>
      <c r="O15" s="199"/>
      <c r="P15" s="159" t="s">
        <v>12</v>
      </c>
    </row>
    <row r="16" s="199" customFormat="1" ht="30" customHeight="1" spans="1:17">
      <c r="A16" s="210"/>
      <c r="B16" s="210"/>
      <c r="C16" s="212"/>
      <c r="D16" s="210"/>
      <c r="E16" s="210"/>
      <c r="F16" s="210" t="s">
        <v>178</v>
      </c>
      <c r="G16" s="211">
        <v>480</v>
      </c>
      <c r="H16" s="212">
        <v>2</v>
      </c>
      <c r="I16" s="213">
        <v>2</v>
      </c>
      <c r="J16" s="213"/>
      <c r="K16" s="212" t="s">
        <v>162</v>
      </c>
      <c r="L16" s="228">
        <v>300</v>
      </c>
      <c r="M16" s="229"/>
      <c r="N16" s="230"/>
      <c r="P16" s="159" t="s">
        <v>12</v>
      </c>
    </row>
    <row r="17" s="137" customFormat="1" ht="30" customHeight="1" spans="1:15">
      <c r="A17" s="231" t="s">
        <v>80</v>
      </c>
      <c r="B17" s="232"/>
      <c r="C17" s="233"/>
      <c r="D17" s="234">
        <f>H17+M17</f>
        <v>799</v>
      </c>
      <c r="E17" s="235" t="s">
        <v>179</v>
      </c>
      <c r="F17" s="235"/>
      <c r="G17" s="236"/>
      <c r="H17" s="234">
        <f>SUM(H4:H16)</f>
        <v>357</v>
      </c>
      <c r="I17" s="234">
        <f>SUM(I4:I16)</f>
        <v>347</v>
      </c>
      <c r="J17" s="234">
        <f>SUM(J4:J16)</f>
        <v>10</v>
      </c>
      <c r="K17" s="235"/>
      <c r="L17" s="237" t="s">
        <v>162</v>
      </c>
      <c r="M17" s="234">
        <f>SUM(M4:M16)</f>
        <v>442</v>
      </c>
      <c r="N17" s="234">
        <f>SUM(N4:N15)</f>
        <v>340</v>
      </c>
      <c r="O17" s="234">
        <f>SUM(O4:O16)</f>
        <v>57</v>
      </c>
    </row>
    <row r="18" ht="20.25" spans="1:15">
      <c r="L18" s="238"/>
    </row>
    <row r="20" ht="33.75" spans="1:15">
      <c r="D20" s="239" t="s">
        <v>180</v>
      </c>
      <c r="E20" s="239">
        <f>I17+N17+J17+O17</f>
        <v>754</v>
      </c>
      <c r="H20" s="234" t="s">
        <v>181</v>
      </c>
      <c r="I20" s="234">
        <f>H17+M17-I17-J17-N17-O17</f>
        <v>45</v>
      </c>
    </row>
    <row r="21" ht="33.75" spans="1:15">
      <c r="D21" s="239" t="s">
        <v>181</v>
      </c>
      <c r="E21" s="239">
        <f>D17-I17-N17-J17-O17</f>
        <v>45</v>
      </c>
    </row>
  </sheetData>
  <sheetProtection formatCells="0" formatColumns="0" formatRows="0" insertRows="0" insertColumns="0" insertHyperlinks="0" deleteColumns="0" deleteRows="0" sort="0" autoFilter="0" pivotTables="0"/>
  <mergeCells count="23">
    <mergeCell ref="A1:M1"/>
    <mergeCell ref="F2:I2"/>
    <mergeCell ref="K2:M2"/>
    <mergeCell ref="A17:C17"/>
    <mergeCell ref="A2:A3"/>
    <mergeCell ref="A4:A11"/>
    <mergeCell ref="A12:A16"/>
    <mergeCell ref="B2:B3"/>
    <mergeCell ref="B6:B7"/>
    <mergeCell ref="B8:B9"/>
    <mergeCell ref="B15:B16"/>
    <mergeCell ref="C2:C3"/>
    <mergeCell ref="C6:C7"/>
    <mergeCell ref="C8:C9"/>
    <mergeCell ref="C15:C16"/>
    <mergeCell ref="D2:D3"/>
    <mergeCell ref="D6:D7"/>
    <mergeCell ref="D8:D9"/>
    <mergeCell ref="D15:D16"/>
    <mergeCell ref="E2:E3"/>
    <mergeCell ref="E6:E7"/>
    <mergeCell ref="E8:E9"/>
    <mergeCell ref="E15:E16"/>
  </mergeCells>
  <pageMargins left="0.0784722222222222" right="0.196527777777778" top="0.236111111111111" bottom="0.236111111111111" header="0.5" footer="0.5"/>
  <pageSetup paperSize="9" scale="50" fitToWidth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zoomScale="60" zoomScaleNormal="60" topLeftCell="B4" workbookViewId="0">
      <pane xSplit="1" topLeftCell="Q1" activePane="topRight" state="frozen"/>
      <selection/>
      <selection pane="topRight" activeCell="Q4" sqref="Q4"/>
    </sheetView>
  </sheetViews>
  <sheetFormatPr defaultColWidth="9" defaultRowHeight="13.5"/>
  <cols>
    <col min="2" max="2" width="62.1916666666667" customWidth="1"/>
    <col min="3" max="3" width="13.6333333333333" customWidth="1"/>
    <col min="4" max="4" width="10.725" customWidth="1"/>
    <col min="5" max="5" width="13.8166666666667" hidden="1" customWidth="1"/>
    <col min="6" max="6" width="30.6333333333333" customWidth="1"/>
    <col min="7" max="7" width="15.3666666666667" customWidth="1"/>
    <col min="8" max="8" width="12.725" customWidth="1"/>
    <col min="9" max="9" width="37.575" customWidth="1"/>
    <col min="10" max="10" width="38.9583333333333" customWidth="1"/>
    <col min="11" max="11" width="25.9083333333333" customWidth="1"/>
    <col min="12" max="12" width="15.1833333333333" customWidth="1"/>
    <col min="13" max="13" width="12.3666666666667" customWidth="1"/>
    <col min="14" max="14" width="23.9083333333333" customWidth="1"/>
    <col min="15" max="15" width="31.0916666666667" customWidth="1"/>
    <col min="16" max="16" width="15.45" customWidth="1"/>
  </cols>
  <sheetData>
    <row r="1" ht="56.25" customHeight="1" spans="1:17">
      <c r="A1" s="138" t="s">
        <v>182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ht="20.25" spans="1:17">
      <c r="A2" s="139" t="s">
        <v>1</v>
      </c>
      <c r="B2" s="139" t="s">
        <v>2</v>
      </c>
      <c r="C2" s="140" t="s">
        <v>183</v>
      </c>
      <c r="D2" s="140" t="s">
        <v>184</v>
      </c>
      <c r="E2" s="141" t="s">
        <v>152</v>
      </c>
      <c r="F2" s="142" t="s">
        <v>153</v>
      </c>
      <c r="G2" s="143"/>
      <c r="H2" s="143"/>
      <c r="I2" s="144"/>
      <c r="J2" s="144"/>
      <c r="K2" s="145" t="s">
        <v>154</v>
      </c>
      <c r="L2" s="145"/>
      <c r="M2" s="145"/>
      <c r="N2" s="145"/>
      <c r="O2" s="145"/>
    </row>
    <row r="3" ht="20.25" spans="1:17">
      <c r="A3" s="146"/>
      <c r="B3" s="146"/>
      <c r="C3" s="147"/>
      <c r="D3" s="148"/>
      <c r="E3" s="147"/>
      <c r="F3" s="145" t="s">
        <v>155</v>
      </c>
      <c r="G3" s="149" t="s">
        <v>156</v>
      </c>
      <c r="H3" s="145" t="s">
        <v>42</v>
      </c>
      <c r="I3" s="149" t="s">
        <v>185</v>
      </c>
      <c r="J3" s="149" t="s">
        <v>186</v>
      </c>
      <c r="K3" s="145" t="s">
        <v>155</v>
      </c>
      <c r="L3" s="145" t="s">
        <v>156</v>
      </c>
      <c r="M3" s="145" t="s">
        <v>42</v>
      </c>
      <c r="N3" s="149" t="s">
        <v>157</v>
      </c>
      <c r="O3" s="149" t="s">
        <v>187</v>
      </c>
    </row>
    <row r="4" ht="41.15" customHeight="1" spans="1:17">
      <c r="A4" s="150">
        <v>1</v>
      </c>
      <c r="B4" s="141" t="s">
        <v>188</v>
      </c>
      <c r="C4" s="141">
        <v>335</v>
      </c>
      <c r="D4" s="141">
        <f t="shared" ref="D4:D15" si="0">H4+M4</f>
        <v>144</v>
      </c>
      <c r="E4" s="141" t="s">
        <v>189</v>
      </c>
      <c r="F4" s="145" t="s">
        <v>190</v>
      </c>
      <c r="G4" s="151">
        <v>248</v>
      </c>
      <c r="H4" s="145">
        <v>96</v>
      </c>
      <c r="I4" s="152">
        <v>77</v>
      </c>
      <c r="J4" s="144">
        <v>12</v>
      </c>
      <c r="K4" s="145" t="s">
        <v>191</v>
      </c>
      <c r="L4" s="151">
        <v>248</v>
      </c>
      <c r="M4" s="145">
        <v>48</v>
      </c>
      <c r="N4" s="145">
        <v>48</v>
      </c>
      <c r="O4" s="145"/>
      <c r="P4" s="153">
        <f>H4-I4-J4+M4-N4</f>
        <v>7</v>
      </c>
      <c r="Q4" s="153" t="s">
        <v>12</v>
      </c>
    </row>
    <row r="5" ht="36" customHeight="1" spans="1:17">
      <c r="A5" s="154">
        <v>3</v>
      </c>
      <c r="B5" s="155" t="s">
        <v>25</v>
      </c>
      <c r="C5" s="147">
        <v>166</v>
      </c>
      <c r="D5" s="141">
        <f t="shared" si="0"/>
        <v>119</v>
      </c>
      <c r="E5" s="147" t="s">
        <v>160</v>
      </c>
      <c r="F5" s="147" t="s">
        <v>192</v>
      </c>
      <c r="G5" s="156">
        <v>200</v>
      </c>
      <c r="H5" s="157">
        <v>39</v>
      </c>
      <c r="I5" s="152">
        <v>34</v>
      </c>
      <c r="J5" s="158">
        <v>5</v>
      </c>
      <c r="K5" s="147" t="s">
        <v>192</v>
      </c>
      <c r="L5" s="156">
        <v>200</v>
      </c>
      <c r="M5" s="147">
        <v>80</v>
      </c>
      <c r="N5" s="145">
        <v>51</v>
      </c>
      <c r="O5" s="145">
        <v>9</v>
      </c>
      <c r="P5" s="159" t="s">
        <v>12</v>
      </c>
    </row>
    <row r="6" ht="39" customHeight="1" spans="1:17">
      <c r="A6" s="160">
        <v>4</v>
      </c>
      <c r="B6" s="161" t="s">
        <v>26</v>
      </c>
      <c r="C6" s="145"/>
      <c r="D6" s="141">
        <f t="shared" si="0"/>
        <v>35</v>
      </c>
      <c r="E6" s="145" t="s">
        <v>160</v>
      </c>
      <c r="F6" s="145" t="s">
        <v>192</v>
      </c>
      <c r="G6" s="151">
        <v>238</v>
      </c>
      <c r="H6" s="149">
        <v>20</v>
      </c>
      <c r="I6" s="152">
        <v>15</v>
      </c>
      <c r="J6" s="144"/>
      <c r="K6" s="145" t="s">
        <v>192</v>
      </c>
      <c r="L6" s="151">
        <v>238</v>
      </c>
      <c r="M6" s="149">
        <v>15</v>
      </c>
      <c r="N6" s="145">
        <v>4</v>
      </c>
      <c r="O6" s="145"/>
      <c r="P6" s="159" t="s">
        <v>12</v>
      </c>
    </row>
    <row r="7" ht="22.5" spans="1:17">
      <c r="A7" s="162">
        <v>5</v>
      </c>
      <c r="B7" s="148" t="s">
        <v>27</v>
      </c>
      <c r="C7" s="147">
        <v>80</v>
      </c>
      <c r="D7" s="141">
        <f t="shared" si="0"/>
        <v>30</v>
      </c>
      <c r="E7" s="148" t="s">
        <v>193</v>
      </c>
      <c r="F7" s="152" t="s">
        <v>177</v>
      </c>
      <c r="G7" s="156">
        <v>300</v>
      </c>
      <c r="H7" s="148">
        <v>25</v>
      </c>
      <c r="I7" s="152">
        <v>25</v>
      </c>
      <c r="J7" s="152"/>
      <c r="K7" s="149" t="s">
        <v>161</v>
      </c>
      <c r="L7" s="156">
        <v>360</v>
      </c>
      <c r="M7" s="148">
        <v>5</v>
      </c>
      <c r="N7" s="145">
        <v>5</v>
      </c>
      <c r="O7" s="145"/>
      <c r="P7" s="153" t="s">
        <v>12</v>
      </c>
    </row>
    <row r="8" ht="44.15" customHeight="1" spans="1:17">
      <c r="A8" s="160">
        <v>6</v>
      </c>
      <c r="B8" s="163" t="s">
        <v>28</v>
      </c>
      <c r="C8" s="164">
        <v>151</v>
      </c>
      <c r="D8" s="141">
        <f t="shared" si="0"/>
        <v>100</v>
      </c>
      <c r="E8" s="145" t="s">
        <v>160</v>
      </c>
      <c r="F8" s="165" t="s">
        <v>194</v>
      </c>
      <c r="G8" s="166">
        <v>360</v>
      </c>
      <c r="H8" s="152">
        <v>50</v>
      </c>
      <c r="I8" s="152">
        <v>50</v>
      </c>
      <c r="J8" s="152"/>
      <c r="K8" s="149" t="s">
        <v>195</v>
      </c>
      <c r="L8" s="151">
        <v>360</v>
      </c>
      <c r="M8" s="149">
        <v>50</v>
      </c>
      <c r="N8" s="145">
        <v>50</v>
      </c>
      <c r="O8" s="145"/>
      <c r="P8" s="159" t="s">
        <v>12</v>
      </c>
    </row>
    <row r="9" ht="22.5" spans="1:17">
      <c r="A9" s="150">
        <v>7</v>
      </c>
      <c r="B9" s="167" t="s">
        <v>29</v>
      </c>
      <c r="C9" s="168">
        <v>116</v>
      </c>
      <c r="D9" s="141">
        <f t="shared" si="0"/>
        <v>70</v>
      </c>
      <c r="E9" s="145" t="s">
        <v>160</v>
      </c>
      <c r="F9" s="152" t="s">
        <v>177</v>
      </c>
      <c r="G9" s="166">
        <v>240</v>
      </c>
      <c r="H9" s="169">
        <v>40</v>
      </c>
      <c r="I9" s="152">
        <v>37</v>
      </c>
      <c r="J9" s="152">
        <v>2</v>
      </c>
      <c r="K9" s="149" t="s">
        <v>161</v>
      </c>
      <c r="L9" s="151">
        <v>260</v>
      </c>
      <c r="M9" s="170">
        <v>30</v>
      </c>
      <c r="N9" s="145">
        <v>22</v>
      </c>
      <c r="O9" s="145"/>
      <c r="P9" s="159" t="s">
        <v>12</v>
      </c>
    </row>
    <row r="10" ht="22.5" spans="1:17">
      <c r="A10" s="162">
        <v>11</v>
      </c>
      <c r="B10" s="165" t="s">
        <v>31</v>
      </c>
      <c r="C10" s="164">
        <v>69</v>
      </c>
      <c r="D10" s="141">
        <f t="shared" si="0"/>
        <v>46</v>
      </c>
      <c r="E10" s="145" t="s">
        <v>160</v>
      </c>
      <c r="F10" s="152" t="s">
        <v>177</v>
      </c>
      <c r="G10" s="166">
        <v>258</v>
      </c>
      <c r="H10" s="171">
        <v>28</v>
      </c>
      <c r="I10" s="152">
        <v>8</v>
      </c>
      <c r="J10" s="152"/>
      <c r="K10" s="149" t="s">
        <v>161</v>
      </c>
      <c r="L10" s="151">
        <v>280</v>
      </c>
      <c r="M10" s="170">
        <v>18</v>
      </c>
      <c r="N10" s="145">
        <v>4</v>
      </c>
      <c r="O10" s="145"/>
      <c r="P10" s="153"/>
    </row>
    <row r="11" ht="22.5" spans="1:17">
      <c r="A11" s="160">
        <v>12</v>
      </c>
      <c r="B11" s="172" t="s">
        <v>32</v>
      </c>
      <c r="C11" s="173">
        <v>61</v>
      </c>
      <c r="D11" s="152">
        <f t="shared" si="0"/>
        <v>38</v>
      </c>
      <c r="E11" s="152" t="s">
        <v>160</v>
      </c>
      <c r="F11" s="152" t="s">
        <v>177</v>
      </c>
      <c r="G11" s="174">
        <v>270</v>
      </c>
      <c r="H11" s="152">
        <v>33</v>
      </c>
      <c r="I11" s="152">
        <v>33</v>
      </c>
      <c r="J11" s="175"/>
      <c r="K11" s="167" t="s">
        <v>161</v>
      </c>
      <c r="L11" s="176">
        <v>280</v>
      </c>
      <c r="M11" s="167">
        <v>5</v>
      </c>
      <c r="N11" s="145">
        <v>5</v>
      </c>
      <c r="O11" s="145"/>
      <c r="P11" s="159" t="s">
        <v>12</v>
      </c>
    </row>
    <row r="12" ht="22.5" spans="1:17">
      <c r="A12" s="150">
        <v>13</v>
      </c>
      <c r="B12" s="172" t="s">
        <v>33</v>
      </c>
      <c r="C12" s="173">
        <v>82</v>
      </c>
      <c r="D12" s="152">
        <f t="shared" si="0"/>
        <v>54</v>
      </c>
      <c r="E12" s="152" t="s">
        <v>160</v>
      </c>
      <c r="F12" s="152" t="s">
        <v>177</v>
      </c>
      <c r="G12" s="174">
        <v>200</v>
      </c>
      <c r="H12" s="152">
        <v>36</v>
      </c>
      <c r="I12" s="152">
        <v>15</v>
      </c>
      <c r="J12" s="152"/>
      <c r="K12" s="149" t="s">
        <v>161</v>
      </c>
      <c r="L12" s="177">
        <v>200</v>
      </c>
      <c r="M12" s="145">
        <v>18</v>
      </c>
      <c r="N12" s="145">
        <v>8</v>
      </c>
      <c r="O12" s="145"/>
      <c r="P12" s="153"/>
    </row>
    <row r="13" ht="22.5" spans="1:17">
      <c r="A13" s="150"/>
      <c r="B13" s="178" t="s">
        <v>34</v>
      </c>
      <c r="C13" s="179"/>
      <c r="D13" s="152">
        <v>120</v>
      </c>
      <c r="E13" s="152"/>
      <c r="F13" s="152" t="s">
        <v>177</v>
      </c>
      <c r="G13" s="180">
        <v>250</v>
      </c>
      <c r="H13" s="165">
        <v>70</v>
      </c>
      <c r="I13" s="181">
        <v>45</v>
      </c>
      <c r="J13" s="181">
        <v>24</v>
      </c>
      <c r="K13" s="165" t="s">
        <v>161</v>
      </c>
      <c r="L13" s="181">
        <v>270</v>
      </c>
      <c r="M13" s="182">
        <v>50</v>
      </c>
      <c r="N13" s="144">
        <v>0</v>
      </c>
      <c r="O13" s="145">
        <v>50</v>
      </c>
      <c r="P13" s="159">
        <v>1</v>
      </c>
    </row>
    <row r="14" s="137" customFormat="1" ht="27" spans="1:17">
      <c r="A14" s="183"/>
      <c r="B14" s="178" t="s">
        <v>30</v>
      </c>
      <c r="C14" s="184"/>
      <c r="D14" s="185">
        <v>70</v>
      </c>
      <c r="E14" s="186"/>
      <c r="F14" s="152" t="s">
        <v>177</v>
      </c>
      <c r="G14" s="187">
        <v>258</v>
      </c>
      <c r="H14" s="188">
        <v>50</v>
      </c>
      <c r="I14" s="188">
        <v>25</v>
      </c>
      <c r="J14" s="188">
        <v>1</v>
      </c>
      <c r="K14" s="165" t="s">
        <v>161</v>
      </c>
      <c r="L14" s="189">
        <v>258</v>
      </c>
      <c r="M14" s="188">
        <v>20</v>
      </c>
      <c r="N14" s="190">
        <v>18</v>
      </c>
      <c r="O14" s="191"/>
      <c r="P14" s="192"/>
    </row>
    <row r="15" s="137" customFormat="1" ht="27" spans="1:17">
      <c r="A15" s="193"/>
      <c r="B15" s="194"/>
      <c r="C15" s="195"/>
      <c r="D15" s="195"/>
      <c r="E15" s="195" t="s">
        <v>179</v>
      </c>
      <c r="F15" s="196">
        <f>H15+M15</f>
        <v>826</v>
      </c>
      <c r="G15" s="197"/>
      <c r="H15" s="198">
        <f>SUM(H4:H14)</f>
        <v>487</v>
      </c>
      <c r="I15" s="198">
        <f>SUM(I4:I14)</f>
        <v>364</v>
      </c>
      <c r="J15" s="198">
        <f>SUM(J4:J14)</f>
        <v>44</v>
      </c>
      <c r="K15" s="189"/>
      <c r="L15" s="189"/>
      <c r="M15" s="198">
        <f>SUM(M4:M14)</f>
        <v>339</v>
      </c>
      <c r="N15" s="198">
        <f>SUM(N4:N14)</f>
        <v>215</v>
      </c>
      <c r="O15" s="198">
        <f>SUM(O4:O14)</f>
        <v>59</v>
      </c>
      <c r="P15" s="192"/>
    </row>
    <row r="16" ht="20.25" spans="1:17">
      <c r="A16" s="149"/>
      <c r="B16" s="149"/>
      <c r="C16" s="149"/>
      <c r="D16" s="149"/>
      <c r="E16" s="149"/>
      <c r="F16" s="149"/>
      <c r="G16" s="149"/>
      <c r="H16" s="148"/>
      <c r="I16" s="148"/>
      <c r="J16" s="148"/>
      <c r="K16" s="148"/>
      <c r="L16" s="148"/>
      <c r="M16" s="148"/>
      <c r="N16" s="178"/>
    </row>
    <row r="18" ht="27" spans="7:10">
      <c r="G18" s="198" t="s">
        <v>181</v>
      </c>
      <c r="H18" s="198">
        <f>F15-I15-J15-N15-O15</f>
        <v>144</v>
      </c>
    </row>
    <row r="24" spans="7:10">
      <c r="J24" s="3" t="s">
        <v>196</v>
      </c>
    </row>
  </sheetData>
  <sheetProtection formatCells="0" formatColumns="0" formatRows="0" insertRows="0" insertColumns="0" insertHyperlinks="0" deleteColumns="0" deleteRows="0" sort="0" autoFilter="0" pivotTables="0"/>
  <mergeCells count="9">
    <mergeCell ref="A1:M1"/>
    <mergeCell ref="F2:I2"/>
    <mergeCell ref="K2:M2"/>
    <mergeCell ref="A16:M16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5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5"/>
  <sheetViews>
    <sheetView zoomScale="60" zoomScaleNormal="60" topLeftCell="D361" workbookViewId="0">
      <selection activeCell="J356" sqref="J356"/>
    </sheetView>
  </sheetViews>
  <sheetFormatPr defaultColWidth="9" defaultRowHeight="35" customHeight="1"/>
  <cols>
    <col min="1" max="1" width="54.625" customWidth="1"/>
    <col min="2" max="2" width="47.6083333333333" style="1" customWidth="1"/>
    <col min="3" max="3" width="31.375" customWidth="1"/>
    <col min="4" max="4" width="23.4416666666667" customWidth="1"/>
    <col min="5" max="5" width="16.4666666666667" customWidth="1"/>
    <col min="6" max="6" width="17.4" customWidth="1"/>
    <col min="7" max="8" width="9" customWidth="1"/>
    <col min="9" max="9" width="15.625" customWidth="1"/>
    <col min="10" max="10" width="17.0916666666667" customWidth="1"/>
    <col min="11" max="11" width="29.0666666666667" style="58" customWidth="1"/>
    <col min="12" max="12" width="27.9166666666667" customWidth="1"/>
    <col min="13" max="13" width="19.5833333333333" customWidth="1"/>
  </cols>
  <sheetData>
    <row r="1" ht="31.9" customHeight="1" spans="1:18">
      <c r="A1" s="59" t="s">
        <v>197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="54" customFormat="1" customHeight="1" spans="1:18">
      <c r="A2" s="62" t="s">
        <v>198</v>
      </c>
      <c r="B2" s="62" t="s">
        <v>199</v>
      </c>
      <c r="C2" s="62" t="s">
        <v>200</v>
      </c>
      <c r="D2" s="62" t="s">
        <v>41</v>
      </c>
      <c r="E2" s="62" t="s">
        <v>201</v>
      </c>
      <c r="F2" s="62" t="s">
        <v>202</v>
      </c>
      <c r="G2" s="62" t="s">
        <v>203</v>
      </c>
      <c r="H2" s="62" t="s">
        <v>204</v>
      </c>
      <c r="I2" s="63" t="s">
        <v>205</v>
      </c>
      <c r="J2" s="63" t="s">
        <v>206</v>
      </c>
      <c r="K2" s="64" t="s">
        <v>46</v>
      </c>
      <c r="L2" s="65" t="s">
        <v>207</v>
      </c>
    </row>
    <row r="3" s="55" customFormat="1" customHeight="1" spans="1:18">
      <c r="A3" s="66" t="s">
        <v>208</v>
      </c>
      <c r="B3" s="67" t="s">
        <v>209</v>
      </c>
      <c r="C3" s="68" t="s">
        <v>16</v>
      </c>
      <c r="D3" s="68" t="s">
        <v>164</v>
      </c>
      <c r="E3" s="69">
        <v>45989</v>
      </c>
      <c r="F3" s="69">
        <v>45991</v>
      </c>
      <c r="G3" s="62">
        <f>F3-E3</f>
        <v>2</v>
      </c>
      <c r="H3" s="68">
        <v>1</v>
      </c>
      <c r="I3" s="70">
        <v>200</v>
      </c>
      <c r="J3" s="70">
        <f>I3*H3*G3</f>
        <v>400</v>
      </c>
      <c r="K3" s="71"/>
      <c r="L3" s="3"/>
    </row>
    <row r="4" s="55" customFormat="1" customHeight="1" spans="1:18">
      <c r="A4" s="66" t="s">
        <v>210</v>
      </c>
      <c r="B4" s="67"/>
      <c r="C4" s="68"/>
      <c r="D4" s="68"/>
      <c r="E4" s="69">
        <v>45989</v>
      </c>
      <c r="F4" s="69">
        <v>45992</v>
      </c>
      <c r="G4" s="62">
        <v>3</v>
      </c>
      <c r="H4" s="68">
        <v>5</v>
      </c>
      <c r="I4" s="70">
        <v>200</v>
      </c>
      <c r="J4" s="70">
        <f>G4*H4*I4</f>
        <v>3000</v>
      </c>
      <c r="K4" s="71"/>
      <c r="L4" s="3"/>
    </row>
    <row r="5" s="55" customFormat="1" customHeight="1" spans="1:18">
      <c r="A5" s="72" t="s">
        <v>211</v>
      </c>
      <c r="B5" s="67"/>
      <c r="C5" s="68"/>
      <c r="D5" s="68"/>
      <c r="E5" s="73">
        <v>45989</v>
      </c>
      <c r="F5" s="73">
        <v>45993</v>
      </c>
      <c r="G5" s="68">
        <v>4</v>
      </c>
      <c r="H5" s="68">
        <v>35</v>
      </c>
      <c r="I5" s="70">
        <v>200</v>
      </c>
      <c r="J5" s="70">
        <f>G5*H5*I5</f>
        <v>28000</v>
      </c>
      <c r="K5" s="71" t="s">
        <v>212</v>
      </c>
      <c r="L5" s="3" t="s">
        <v>213</v>
      </c>
    </row>
    <row r="6" customHeight="1" spans="1:18">
      <c r="A6" s="74" t="s">
        <v>214</v>
      </c>
      <c r="B6" s="74" t="s">
        <v>215</v>
      </c>
      <c r="C6" s="74" t="s">
        <v>10</v>
      </c>
      <c r="D6" s="75" t="s">
        <v>52</v>
      </c>
      <c r="E6" s="69">
        <v>45989</v>
      </c>
      <c r="F6" s="69">
        <v>45993</v>
      </c>
      <c r="G6" s="74">
        <v>4</v>
      </c>
      <c r="H6" s="74">
        <v>1</v>
      </c>
      <c r="I6" s="76">
        <v>920</v>
      </c>
      <c r="J6" s="76">
        <v>3680</v>
      </c>
      <c r="K6" s="77" t="s">
        <v>216</v>
      </c>
      <c r="L6" s="3" t="s">
        <v>213</v>
      </c>
    </row>
    <row r="7" customHeight="1" spans="1:18">
      <c r="A7" s="74" t="s">
        <v>217</v>
      </c>
      <c r="B7" s="74" t="s">
        <v>218</v>
      </c>
      <c r="C7" s="74" t="s">
        <v>10</v>
      </c>
      <c r="D7" s="74" t="s">
        <v>51</v>
      </c>
      <c r="E7" s="69">
        <v>45989</v>
      </c>
      <c r="F7" s="69">
        <v>45991</v>
      </c>
      <c r="G7" s="74">
        <v>2</v>
      </c>
      <c r="H7" s="74">
        <v>1</v>
      </c>
      <c r="I7" s="76">
        <v>920</v>
      </c>
      <c r="J7" s="76">
        <v>1840</v>
      </c>
      <c r="K7" s="77" t="s">
        <v>212</v>
      </c>
      <c r="L7" s="3" t="s">
        <v>213</v>
      </c>
    </row>
    <row r="8" ht="52.5" customHeight="1" spans="1:18">
      <c r="A8" s="78" t="s">
        <v>219</v>
      </c>
      <c r="B8" s="78" t="s">
        <v>220</v>
      </c>
      <c r="C8" s="74" t="s">
        <v>10</v>
      </c>
      <c r="D8" s="79" t="s">
        <v>52</v>
      </c>
      <c r="E8" s="69">
        <v>45989</v>
      </c>
      <c r="F8" s="69">
        <v>45991</v>
      </c>
      <c r="G8" s="74">
        <v>2</v>
      </c>
      <c r="H8" s="74">
        <v>1</v>
      </c>
      <c r="I8" s="76">
        <v>920</v>
      </c>
      <c r="J8" s="76">
        <f>G8*H8*I8</f>
        <v>1840</v>
      </c>
      <c r="K8" s="80" t="s">
        <v>221</v>
      </c>
      <c r="L8" s="3" t="s">
        <v>213</v>
      </c>
      <c r="M8" s="11" t="s">
        <v>222</v>
      </c>
    </row>
    <row r="9" customHeight="1" spans="1:18">
      <c r="A9" s="74" t="s">
        <v>223</v>
      </c>
      <c r="B9" s="74" t="s">
        <v>224</v>
      </c>
      <c r="C9" s="74" t="s">
        <v>10</v>
      </c>
      <c r="D9" s="74" t="s">
        <v>51</v>
      </c>
      <c r="E9" s="81">
        <v>45990</v>
      </c>
      <c r="F9" s="81">
        <v>45993</v>
      </c>
      <c r="G9" s="74">
        <v>3</v>
      </c>
      <c r="H9" s="74">
        <v>1</v>
      </c>
      <c r="I9" s="76">
        <v>470</v>
      </c>
      <c r="J9" s="76">
        <v>1410</v>
      </c>
      <c r="K9" s="77" t="s">
        <v>212</v>
      </c>
      <c r="L9" s="3" t="s">
        <v>213</v>
      </c>
    </row>
    <row r="10" customHeight="1" spans="1:18">
      <c r="A10" s="74" t="s">
        <v>225</v>
      </c>
      <c r="B10" s="74"/>
      <c r="C10" s="74" t="s">
        <v>10</v>
      </c>
      <c r="D10" s="78" t="s">
        <v>51</v>
      </c>
      <c r="E10" s="69">
        <v>45992</v>
      </c>
      <c r="F10" s="69">
        <v>45994</v>
      </c>
      <c r="G10" s="74">
        <v>2</v>
      </c>
      <c r="H10" s="74">
        <v>1</v>
      </c>
      <c r="I10" s="76">
        <v>920</v>
      </c>
      <c r="J10" s="76">
        <f>G10*H10*I10</f>
        <v>1840</v>
      </c>
      <c r="K10" s="77" t="s">
        <v>212</v>
      </c>
      <c r="L10" s="3" t="s">
        <v>226</v>
      </c>
      <c r="R10" s="3"/>
    </row>
    <row r="11" customHeight="1" spans="1:18">
      <c r="A11" s="74" t="s">
        <v>227</v>
      </c>
      <c r="B11" s="74" t="s">
        <v>228</v>
      </c>
      <c r="C11" s="74" t="s">
        <v>10</v>
      </c>
      <c r="D11" s="74" t="s">
        <v>229</v>
      </c>
      <c r="E11" s="69">
        <v>45989</v>
      </c>
      <c r="F11" s="81">
        <v>45992</v>
      </c>
      <c r="G11" s="74">
        <f>F11-E11</f>
        <v>3</v>
      </c>
      <c r="H11" s="74">
        <v>0</v>
      </c>
      <c r="I11" s="76">
        <v>470</v>
      </c>
      <c r="J11" s="76">
        <v>1880</v>
      </c>
      <c r="K11" s="80" t="s">
        <v>230</v>
      </c>
      <c r="L11" s="3" t="s">
        <v>213</v>
      </c>
    </row>
    <row r="12" customHeight="1" spans="1:18">
      <c r="A12" s="74" t="s">
        <v>231</v>
      </c>
      <c r="B12" s="74"/>
      <c r="C12" s="74" t="s">
        <v>10</v>
      </c>
      <c r="D12" s="74" t="s">
        <v>229</v>
      </c>
      <c r="E12" s="69">
        <v>45991</v>
      </c>
      <c r="F12" s="81"/>
      <c r="G12" s="74">
        <v>4</v>
      </c>
      <c r="H12" s="74">
        <v>1</v>
      </c>
      <c r="I12" s="76">
        <v>470</v>
      </c>
      <c r="J12" s="76">
        <v>1880</v>
      </c>
      <c r="K12" s="77" t="s">
        <v>212</v>
      </c>
      <c r="L12" s="3" t="s">
        <v>213</v>
      </c>
    </row>
    <row r="13" customHeight="1" spans="1:18">
      <c r="A13" s="74" t="s">
        <v>232</v>
      </c>
      <c r="B13" s="74"/>
      <c r="C13" s="74" t="s">
        <v>10</v>
      </c>
      <c r="D13" s="74" t="s">
        <v>229</v>
      </c>
      <c r="E13" s="82" t="s">
        <v>233</v>
      </c>
      <c r="F13" s="81"/>
      <c r="G13" s="74">
        <v>4</v>
      </c>
      <c r="H13" s="74">
        <v>1</v>
      </c>
      <c r="I13" s="76">
        <v>470</v>
      </c>
      <c r="J13" s="76">
        <v>1880</v>
      </c>
      <c r="K13" s="77" t="s">
        <v>212</v>
      </c>
      <c r="L13" s="3" t="s">
        <v>213</v>
      </c>
    </row>
    <row r="14" customHeight="1" spans="1:18">
      <c r="A14" s="23" t="s">
        <v>234</v>
      </c>
      <c r="B14" s="23"/>
      <c r="C14" s="74" t="s">
        <v>10</v>
      </c>
      <c r="D14" s="74" t="s">
        <v>229</v>
      </c>
      <c r="E14" s="83" t="s">
        <v>233</v>
      </c>
      <c r="F14" s="29"/>
      <c r="G14" s="23"/>
      <c r="H14" s="23">
        <v>1</v>
      </c>
      <c r="I14" s="84">
        <v>470</v>
      </c>
      <c r="J14" s="84"/>
      <c r="K14" s="85" t="s">
        <v>212</v>
      </c>
      <c r="L14" s="3"/>
    </row>
    <row r="15" customHeight="1" spans="1:18">
      <c r="I15" s="84"/>
      <c r="J15" s="84"/>
      <c r="K15" s="34"/>
      <c r="L15" s="3"/>
    </row>
    <row r="16" customHeight="1" spans="1:18">
      <c r="A16" s="23"/>
      <c r="B16" s="23"/>
      <c r="C16" s="23"/>
      <c r="D16" s="2"/>
      <c r="E16" s="29"/>
      <c r="F16" s="29"/>
      <c r="G16" s="23"/>
      <c r="H16" s="23"/>
      <c r="I16" s="84"/>
      <c r="J16" s="84"/>
      <c r="K16" s="34"/>
      <c r="L16" s="3"/>
    </row>
    <row r="17" customHeight="1" spans="1:12">
      <c r="A17" s="23" t="s">
        <v>235</v>
      </c>
      <c r="B17" s="23" t="s">
        <v>236</v>
      </c>
      <c r="C17" s="23" t="s">
        <v>53</v>
      </c>
      <c r="D17" s="2" t="s">
        <v>51</v>
      </c>
      <c r="E17" s="29">
        <v>45989</v>
      </c>
      <c r="F17" s="29">
        <v>45992</v>
      </c>
      <c r="G17" s="23">
        <v>3</v>
      </c>
      <c r="H17" s="23">
        <v>1</v>
      </c>
      <c r="I17" s="84">
        <v>519</v>
      </c>
      <c r="J17" s="84">
        <f>G17*H17*I17</f>
        <v>1557</v>
      </c>
      <c r="K17" s="34" t="s">
        <v>212</v>
      </c>
      <c r="L17" s="3" t="s">
        <v>213</v>
      </c>
    </row>
    <row r="18" ht="51" customHeight="1" spans="1:12">
      <c r="A18" s="74" t="s">
        <v>237</v>
      </c>
      <c r="B18" s="74" t="s">
        <v>238</v>
      </c>
      <c r="C18" s="74" t="s">
        <v>10</v>
      </c>
      <c r="D18" s="74" t="s">
        <v>51</v>
      </c>
      <c r="E18" s="69">
        <v>45989</v>
      </c>
      <c r="F18" s="69">
        <v>45992</v>
      </c>
      <c r="G18" s="74">
        <v>3</v>
      </c>
      <c r="H18" s="74">
        <v>1</v>
      </c>
      <c r="I18" s="76">
        <v>920</v>
      </c>
      <c r="J18" s="76">
        <v>2760</v>
      </c>
      <c r="K18" s="86" t="s">
        <v>239</v>
      </c>
      <c r="L18" s="87"/>
    </row>
    <row r="19" ht="51" customHeight="1" spans="1:12">
      <c r="A19" s="2" t="s">
        <v>240</v>
      </c>
      <c r="B19" s="1" t="s">
        <v>241</v>
      </c>
      <c r="C19" s="23" t="s">
        <v>53</v>
      </c>
      <c r="D19" s="88" t="s">
        <v>242</v>
      </c>
      <c r="E19" s="69">
        <v>45989</v>
      </c>
      <c r="F19" s="69">
        <v>45992</v>
      </c>
      <c r="G19" s="1">
        <f t="shared" ref="G19:G23" si="0">F19-E19</f>
        <v>3</v>
      </c>
      <c r="H19" s="1">
        <v>1</v>
      </c>
      <c r="I19" s="1">
        <v>470</v>
      </c>
      <c r="J19" s="1">
        <f t="shared" ref="J19:J23" si="1">G19*H19*I19</f>
        <v>1410</v>
      </c>
      <c r="K19" s="2" t="s">
        <v>243</v>
      </c>
      <c r="L19" s="3"/>
    </row>
    <row r="20" ht="51" customHeight="1" spans="1:12">
      <c r="A20" s="78" t="s">
        <v>244</v>
      </c>
      <c r="B20" s="2" t="s">
        <v>244</v>
      </c>
      <c r="C20" s="74" t="s">
        <v>10</v>
      </c>
      <c r="D20" s="74" t="s">
        <v>51</v>
      </c>
      <c r="E20" s="69">
        <v>45989</v>
      </c>
      <c r="F20" s="29"/>
      <c r="G20" s="23"/>
      <c r="H20" s="23">
        <v>1</v>
      </c>
      <c r="I20" s="89">
        <v>920</v>
      </c>
      <c r="J20" s="25"/>
      <c r="K20" s="85" t="s">
        <v>245</v>
      </c>
      <c r="L20" s="90" t="s">
        <v>246</v>
      </c>
    </row>
    <row r="21" ht="51" customHeight="1" spans="1:12">
      <c r="A21" s="78"/>
      <c r="B21" s="2" t="s">
        <v>247</v>
      </c>
      <c r="C21" s="74" t="s">
        <v>10</v>
      </c>
      <c r="D21" s="2" t="s">
        <v>248</v>
      </c>
      <c r="E21" s="69">
        <v>45989</v>
      </c>
      <c r="F21" s="29"/>
      <c r="G21" s="23"/>
      <c r="H21" s="23">
        <v>1</v>
      </c>
      <c r="I21" s="89">
        <v>470</v>
      </c>
      <c r="J21" s="89"/>
      <c r="K21" s="85"/>
      <c r="L21" s="3"/>
    </row>
    <row r="22" ht="51" customHeight="1" spans="1:12">
      <c r="A22" s="78" t="s">
        <v>249</v>
      </c>
      <c r="B22" s="78" t="s">
        <v>250</v>
      </c>
      <c r="C22" s="74" t="s">
        <v>10</v>
      </c>
      <c r="D22" s="78" t="s">
        <v>248</v>
      </c>
      <c r="E22" s="69">
        <v>45989</v>
      </c>
      <c r="F22" s="69">
        <v>45992</v>
      </c>
      <c r="G22" s="74">
        <f t="shared" si="0"/>
        <v>3</v>
      </c>
      <c r="H22" s="74">
        <v>1</v>
      </c>
      <c r="I22" s="91">
        <v>470</v>
      </c>
      <c r="J22" s="91">
        <f t="shared" si="1"/>
        <v>1410</v>
      </c>
      <c r="K22" s="80" t="s">
        <v>243</v>
      </c>
      <c r="L22" s="3"/>
    </row>
    <row r="23" ht="51" customHeight="1" spans="1:12">
      <c r="A23" s="78" t="s">
        <v>251</v>
      </c>
      <c r="B23" s="78"/>
      <c r="C23" s="74" t="s">
        <v>10</v>
      </c>
      <c r="D23" s="78" t="s">
        <v>248</v>
      </c>
      <c r="E23" s="69">
        <v>45989</v>
      </c>
      <c r="F23" s="69">
        <v>45991</v>
      </c>
      <c r="G23" s="74">
        <f t="shared" si="0"/>
        <v>2</v>
      </c>
      <c r="H23" s="74">
        <v>1</v>
      </c>
      <c r="I23" s="91">
        <v>470</v>
      </c>
      <c r="J23" s="91">
        <f t="shared" si="1"/>
        <v>940</v>
      </c>
      <c r="K23" s="80"/>
      <c r="L23" s="3"/>
    </row>
    <row r="24" customHeight="1" spans="1:12">
      <c r="A24" s="78" t="s">
        <v>252</v>
      </c>
      <c r="B24" s="78"/>
      <c r="C24" s="74" t="s">
        <v>10</v>
      </c>
      <c r="D24" s="78" t="s">
        <v>248</v>
      </c>
      <c r="E24" s="69">
        <v>45988</v>
      </c>
      <c r="F24" s="29"/>
      <c r="G24" s="74"/>
      <c r="H24" s="74">
        <v>1</v>
      </c>
      <c r="I24" s="91">
        <v>470</v>
      </c>
      <c r="J24" s="91"/>
      <c r="K24" s="80"/>
      <c r="L24" s="3"/>
    </row>
    <row r="25" customHeight="1" spans="1:12">
      <c r="A25" s="78" t="s">
        <v>253</v>
      </c>
      <c r="B25" s="78"/>
      <c r="C25" s="74" t="s">
        <v>10</v>
      </c>
      <c r="D25" s="78" t="s">
        <v>248</v>
      </c>
      <c r="E25" s="69">
        <v>45989</v>
      </c>
      <c r="F25" s="69">
        <v>45992</v>
      </c>
      <c r="G25" s="74">
        <f t="shared" ref="G25:G30" si="2">F25-E25</f>
        <v>3</v>
      </c>
      <c r="H25" s="74">
        <v>1</v>
      </c>
      <c r="I25" s="91">
        <v>470</v>
      </c>
      <c r="J25" s="91">
        <f t="shared" ref="J25:J30" si="3">G25*H25*I25</f>
        <v>1410</v>
      </c>
      <c r="K25" s="80"/>
      <c r="L25" s="3"/>
    </row>
    <row r="26" customHeight="1" spans="1:12">
      <c r="A26" s="1" t="s">
        <v>254</v>
      </c>
      <c r="B26" s="78"/>
      <c r="C26" s="74" t="s">
        <v>10</v>
      </c>
      <c r="D26" s="78" t="s">
        <v>248</v>
      </c>
      <c r="E26" s="69">
        <v>45988</v>
      </c>
      <c r="F26" s="69">
        <v>45991</v>
      </c>
      <c r="G26" s="74">
        <f t="shared" si="2"/>
        <v>3</v>
      </c>
      <c r="H26" s="74">
        <v>1</v>
      </c>
      <c r="I26" s="91">
        <v>470</v>
      </c>
      <c r="J26" s="91">
        <f t="shared" si="3"/>
        <v>1410</v>
      </c>
      <c r="K26" s="80"/>
      <c r="L26" s="3"/>
    </row>
    <row r="27" customHeight="1" spans="1:12">
      <c r="A27" s="78" t="s">
        <v>255</v>
      </c>
      <c r="B27" s="78"/>
      <c r="C27" s="74" t="s">
        <v>10</v>
      </c>
      <c r="D27" s="78" t="s">
        <v>248</v>
      </c>
      <c r="E27" s="69">
        <v>45989</v>
      </c>
      <c r="F27" s="69">
        <v>45992</v>
      </c>
      <c r="G27" s="74">
        <f t="shared" si="2"/>
        <v>3</v>
      </c>
      <c r="H27" s="74">
        <v>1</v>
      </c>
      <c r="I27" s="91">
        <v>470</v>
      </c>
      <c r="J27" s="91">
        <f t="shared" si="3"/>
        <v>1410</v>
      </c>
      <c r="K27" s="80"/>
      <c r="L27" s="3"/>
    </row>
    <row r="28" customHeight="1" spans="1:12">
      <c r="A28" s="78" t="s">
        <v>256</v>
      </c>
      <c r="B28" s="78"/>
      <c r="C28" s="74" t="s">
        <v>10</v>
      </c>
      <c r="D28" s="78" t="s">
        <v>248</v>
      </c>
      <c r="E28" s="69">
        <v>45989</v>
      </c>
      <c r="F28" s="69">
        <v>45992</v>
      </c>
      <c r="G28" s="74">
        <f t="shared" si="2"/>
        <v>3</v>
      </c>
      <c r="H28" s="74">
        <v>1</v>
      </c>
      <c r="I28" s="91">
        <v>470</v>
      </c>
      <c r="J28" s="91">
        <f t="shared" si="3"/>
        <v>1410</v>
      </c>
      <c r="K28" s="80"/>
      <c r="L28" s="3"/>
    </row>
    <row r="29" customHeight="1" spans="1:12">
      <c r="A29" s="78" t="s">
        <v>255</v>
      </c>
      <c r="B29" s="78"/>
      <c r="C29" s="74" t="s">
        <v>10</v>
      </c>
      <c r="D29" s="78" t="s">
        <v>248</v>
      </c>
      <c r="E29" s="69">
        <v>45989</v>
      </c>
      <c r="F29" s="69">
        <v>45991</v>
      </c>
      <c r="G29" s="74">
        <f t="shared" si="2"/>
        <v>2</v>
      </c>
      <c r="H29" s="74">
        <v>1</v>
      </c>
      <c r="I29" s="91">
        <v>470</v>
      </c>
      <c r="J29" s="91">
        <f t="shared" si="3"/>
        <v>940</v>
      </c>
      <c r="K29" s="80"/>
      <c r="L29" s="3"/>
    </row>
    <row r="30" customHeight="1" spans="1:12">
      <c r="A30" s="78" t="s">
        <v>257</v>
      </c>
      <c r="B30" s="78"/>
      <c r="C30" s="74" t="s">
        <v>10</v>
      </c>
      <c r="D30" s="78" t="s">
        <v>248</v>
      </c>
      <c r="E30" s="69">
        <v>45989</v>
      </c>
      <c r="F30" s="69">
        <v>45992</v>
      </c>
      <c r="G30" s="74">
        <f t="shared" si="2"/>
        <v>3</v>
      </c>
      <c r="H30" s="74">
        <v>1</v>
      </c>
      <c r="I30" s="91">
        <v>470</v>
      </c>
      <c r="J30" s="91">
        <f t="shared" si="3"/>
        <v>1410</v>
      </c>
      <c r="K30" s="77"/>
      <c r="L30" s="3"/>
    </row>
    <row r="31" customHeight="1" spans="1:12">
      <c r="A31" s="78"/>
      <c r="B31" s="74"/>
      <c r="C31" s="74"/>
      <c r="D31" s="74"/>
      <c r="E31" s="29"/>
      <c r="F31" s="29"/>
      <c r="G31" s="74"/>
      <c r="H31" s="74">
        <f>SUM(H3:H28)</f>
        <v>61</v>
      </c>
      <c r="I31" s="91"/>
      <c r="J31" s="91"/>
      <c r="K31" s="77"/>
      <c r="L31" s="3"/>
    </row>
    <row r="32" customHeight="1" spans="1:12">
      <c r="A32" s="78" t="s">
        <v>258</v>
      </c>
      <c r="B32" s="74" t="s">
        <v>259</v>
      </c>
      <c r="C32" s="74" t="s">
        <v>10</v>
      </c>
      <c r="D32" s="74" t="s">
        <v>78</v>
      </c>
      <c r="E32" s="29">
        <v>45989</v>
      </c>
      <c r="F32" s="29">
        <v>45993</v>
      </c>
      <c r="G32" s="74">
        <v>4</v>
      </c>
      <c r="H32" s="74">
        <v>1</v>
      </c>
      <c r="I32" s="91">
        <v>470</v>
      </c>
      <c r="J32" s="91">
        <v>1880</v>
      </c>
      <c r="K32" s="77" t="s">
        <v>212</v>
      </c>
      <c r="L32" s="3" t="s">
        <v>213</v>
      </c>
    </row>
    <row r="33" ht="31.25" customHeight="1" spans="1:24">
      <c r="A33" s="78" t="s">
        <v>260</v>
      </c>
      <c r="B33" s="92" t="s">
        <v>261</v>
      </c>
      <c r="C33" s="23" t="s">
        <v>53</v>
      </c>
      <c r="D33" s="93" t="s">
        <v>52</v>
      </c>
      <c r="E33" s="69"/>
      <c r="F33" s="69"/>
      <c r="G33" s="74"/>
      <c r="H33" s="74">
        <v>1</v>
      </c>
      <c r="I33" s="91"/>
      <c r="J33" s="76"/>
      <c r="K33" s="77"/>
    </row>
    <row r="34" customHeight="1" spans="1:24">
      <c r="A34" s="94" t="s">
        <v>262</v>
      </c>
      <c r="B34" s="95" t="s">
        <v>263</v>
      </c>
      <c r="C34" s="23" t="s">
        <v>53</v>
      </c>
      <c r="D34" s="93" t="s">
        <v>52</v>
      </c>
      <c r="E34" s="29">
        <v>45989</v>
      </c>
      <c r="F34" s="29">
        <v>45990</v>
      </c>
      <c r="G34" s="74">
        <f>F34-E34</f>
        <v>1</v>
      </c>
      <c r="H34" s="74">
        <v>1</v>
      </c>
      <c r="I34" s="91">
        <v>920</v>
      </c>
      <c r="J34" s="76">
        <f>I34*H34*G34</f>
        <v>920</v>
      </c>
      <c r="K34" s="77"/>
    </row>
    <row r="35" s="56" customFormat="1" customHeight="1" spans="1:24">
      <c r="A35" s="94"/>
      <c r="B35" s="96" t="s">
        <v>264</v>
      </c>
      <c r="C35" s="23" t="s">
        <v>53</v>
      </c>
      <c r="D35" s="93" t="s">
        <v>242</v>
      </c>
      <c r="E35" s="29">
        <v>45989</v>
      </c>
      <c r="F35" s="29">
        <v>45990</v>
      </c>
      <c r="G35" s="74">
        <f>F35-E35</f>
        <v>1</v>
      </c>
      <c r="H35" s="97">
        <v>1</v>
      </c>
      <c r="I35" s="97">
        <v>470</v>
      </c>
      <c r="J35" s="91">
        <f>I35*H35*G35</f>
        <v>470</v>
      </c>
      <c r="K35" s="7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</row>
    <row r="36" s="56" customFormat="1" customHeight="1" spans="1:24">
      <c r="A36" s="96" t="s">
        <v>265</v>
      </c>
      <c r="B36" s="95" t="s">
        <v>266</v>
      </c>
      <c r="C36" s="23" t="s">
        <v>53</v>
      </c>
      <c r="D36" s="93" t="s">
        <v>52</v>
      </c>
      <c r="E36" s="57"/>
      <c r="F36" s="57"/>
      <c r="G36" s="57"/>
      <c r="H36" s="97">
        <v>1</v>
      </c>
      <c r="I36" s="97"/>
      <c r="J36" s="57"/>
      <c r="K36" s="77"/>
      <c r="L36" s="90" t="s">
        <v>267</v>
      </c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</row>
    <row r="37" customHeight="1" spans="1:24">
      <c r="A37" s="96" t="s">
        <v>268</v>
      </c>
      <c r="B37" s="95" t="s">
        <v>269</v>
      </c>
      <c r="C37" s="74" t="s">
        <v>10</v>
      </c>
      <c r="D37" s="98" t="s">
        <v>51</v>
      </c>
      <c r="E37" s="69">
        <v>45990</v>
      </c>
      <c r="F37" s="69">
        <v>45991</v>
      </c>
      <c r="G37" s="74"/>
      <c r="H37" s="74">
        <v>1</v>
      </c>
      <c r="I37" s="91">
        <v>920</v>
      </c>
      <c r="J37" s="76"/>
      <c r="K37" s="77"/>
      <c r="L37" s="90" t="s">
        <v>270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</row>
    <row r="38" s="56" customFormat="1" customHeight="1" spans="1:24">
      <c r="A38" s="96" t="s">
        <v>271</v>
      </c>
      <c r="B38" s="96" t="s">
        <v>218</v>
      </c>
      <c r="C38" s="23" t="s">
        <v>53</v>
      </c>
      <c r="D38" s="93" t="s">
        <v>52</v>
      </c>
      <c r="E38" s="69"/>
      <c r="F38" s="69"/>
      <c r="G38" s="74"/>
      <c r="H38" s="74">
        <v>1</v>
      </c>
      <c r="I38" s="91"/>
      <c r="J38" s="76"/>
      <c r="K38" s="77"/>
      <c r="L38" s="8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</row>
    <row r="39" s="56" customFormat="1" customHeight="1" spans="1:24">
      <c r="A39" s="94" t="s">
        <v>272</v>
      </c>
      <c r="B39" s="94" t="s">
        <v>236</v>
      </c>
      <c r="C39" s="23" t="s">
        <v>53</v>
      </c>
      <c r="D39" s="99" t="s">
        <v>55</v>
      </c>
      <c r="E39" s="69"/>
      <c r="F39" s="69"/>
      <c r="G39" s="74"/>
      <c r="H39" s="74">
        <v>1</v>
      </c>
      <c r="I39" s="76"/>
      <c r="J39" s="76"/>
      <c r="K39" s="77"/>
      <c r="L39" s="8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</row>
    <row r="40" s="56" customFormat="1" customHeight="1" spans="1:24">
      <c r="A40" s="94" t="s">
        <v>273</v>
      </c>
      <c r="B40" s="94" t="s">
        <v>274</v>
      </c>
      <c r="C40" s="23" t="s">
        <v>53</v>
      </c>
      <c r="D40" s="74" t="s">
        <v>55</v>
      </c>
      <c r="E40" s="69"/>
      <c r="F40" s="69"/>
      <c r="G40" s="74"/>
      <c r="H40" s="74">
        <v>1</v>
      </c>
      <c r="I40" s="76"/>
      <c r="J40" s="76"/>
      <c r="K40" s="77"/>
      <c r="L40" s="8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</row>
    <row r="41" s="56" customFormat="1" customHeight="1" spans="1:24">
      <c r="A41" s="94" t="s">
        <v>275</v>
      </c>
      <c r="B41" s="94" t="s">
        <v>215</v>
      </c>
      <c r="C41" s="23" t="s">
        <v>53</v>
      </c>
      <c r="D41" s="78" t="s">
        <v>51</v>
      </c>
      <c r="E41" s="69"/>
      <c r="F41" s="69"/>
      <c r="G41" s="74"/>
      <c r="H41" s="74">
        <v>1</v>
      </c>
      <c r="I41" s="76"/>
      <c r="J41" s="76"/>
      <c r="K41" s="77"/>
      <c r="L41" s="8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</row>
    <row r="42" s="56" customFormat="1" customHeight="1" spans="1:24">
      <c r="A42" s="94" t="s">
        <v>276</v>
      </c>
      <c r="B42" s="94" t="s">
        <v>277</v>
      </c>
      <c r="C42" s="23" t="s">
        <v>53</v>
      </c>
      <c r="D42" s="78" t="s">
        <v>51</v>
      </c>
      <c r="E42" s="69"/>
      <c r="F42" s="69"/>
      <c r="G42" s="74"/>
      <c r="H42" s="74">
        <v>1</v>
      </c>
      <c r="I42" s="76"/>
      <c r="J42" s="76"/>
      <c r="K42" s="77"/>
      <c r="L42" s="8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</row>
    <row r="43" customHeight="1" spans="1:24">
      <c r="A43" s="74" t="s">
        <v>278</v>
      </c>
      <c r="B43" s="74" t="s">
        <v>215</v>
      </c>
      <c r="C43" s="23" t="s">
        <v>53</v>
      </c>
      <c r="D43" s="78" t="s">
        <v>51</v>
      </c>
      <c r="E43" s="69"/>
      <c r="F43" s="69"/>
      <c r="G43" s="74"/>
      <c r="H43" s="74">
        <v>1</v>
      </c>
      <c r="I43" s="76"/>
      <c r="J43" s="76"/>
      <c r="K43" s="77"/>
    </row>
    <row r="44" customHeight="1" spans="1:24">
      <c r="A44" s="1" t="s">
        <v>279</v>
      </c>
      <c r="B44" s="1" t="s">
        <v>280</v>
      </c>
      <c r="C44" s="1" t="s">
        <v>53</v>
      </c>
      <c r="D44" s="78" t="s">
        <v>51</v>
      </c>
      <c r="H44" s="1">
        <v>1</v>
      </c>
      <c r="K44" s="77"/>
    </row>
    <row r="45" customHeight="1" spans="1:24">
      <c r="A45" s="74" t="s">
        <v>281</v>
      </c>
      <c r="B45" s="92" t="s">
        <v>282</v>
      </c>
      <c r="C45" s="74" t="s">
        <v>53</v>
      </c>
      <c r="D45" s="78" t="s">
        <v>51</v>
      </c>
      <c r="E45" s="69"/>
      <c r="F45" s="69"/>
      <c r="G45" s="74"/>
      <c r="H45" s="74"/>
      <c r="I45" s="76"/>
      <c r="J45" s="76"/>
      <c r="K45" s="77"/>
    </row>
    <row r="46" customHeight="1" spans="1:24">
      <c r="A46" s="74" t="s">
        <v>283</v>
      </c>
      <c r="B46" s="96" t="s">
        <v>282</v>
      </c>
      <c r="C46" s="1" t="s">
        <v>53</v>
      </c>
      <c r="D46" s="78" t="s">
        <v>51</v>
      </c>
      <c r="H46" s="1"/>
      <c r="K46" s="77"/>
    </row>
    <row r="47" customHeight="1" spans="1:24">
      <c r="A47" s="100" t="s">
        <v>284</v>
      </c>
      <c r="B47" s="96" t="s">
        <v>285</v>
      </c>
      <c r="C47" s="1" t="s">
        <v>53</v>
      </c>
      <c r="D47" s="78" t="s">
        <v>51</v>
      </c>
      <c r="H47" s="1">
        <v>1</v>
      </c>
      <c r="K47" s="77"/>
    </row>
    <row r="48" customHeight="1" spans="1:24">
      <c r="A48" s="95" t="s">
        <v>286</v>
      </c>
      <c r="B48" s="96" t="s">
        <v>287</v>
      </c>
      <c r="C48" s="1" t="s">
        <v>53</v>
      </c>
      <c r="D48" s="78" t="s">
        <v>51</v>
      </c>
      <c r="H48" s="1">
        <v>1</v>
      </c>
      <c r="K48" s="77"/>
    </row>
    <row r="49" customHeight="1" spans="1:12">
      <c r="A49" s="1" t="s">
        <v>288</v>
      </c>
      <c r="B49" s="1" t="s">
        <v>289</v>
      </c>
      <c r="C49" s="1" t="s">
        <v>53</v>
      </c>
      <c r="D49" s="101" t="s">
        <v>54</v>
      </c>
      <c r="E49" s="29"/>
      <c r="F49" s="29"/>
      <c r="G49" s="23"/>
      <c r="H49" s="23">
        <v>1</v>
      </c>
      <c r="I49" s="25"/>
      <c r="J49" s="25"/>
      <c r="K49" s="34"/>
    </row>
    <row r="50" customHeight="1" spans="1:12">
      <c r="A50" s="74" t="s">
        <v>290</v>
      </c>
      <c r="B50" s="23" t="s">
        <v>291</v>
      </c>
      <c r="C50" s="1" t="s">
        <v>53</v>
      </c>
      <c r="D50" s="101" t="s">
        <v>54</v>
      </c>
      <c r="E50" s="29"/>
      <c r="F50" s="29"/>
      <c r="G50" s="23"/>
      <c r="H50" s="23">
        <v>1</v>
      </c>
      <c r="I50" s="25"/>
      <c r="J50" s="25"/>
      <c r="K50" s="34"/>
    </row>
    <row r="51" customHeight="1" spans="1:12">
      <c r="A51" s="74" t="s">
        <v>292</v>
      </c>
      <c r="B51" s="23" t="s">
        <v>293</v>
      </c>
      <c r="C51" s="1" t="s">
        <v>53</v>
      </c>
      <c r="D51" s="101" t="s">
        <v>54</v>
      </c>
      <c r="E51" s="29"/>
      <c r="F51" s="29"/>
      <c r="G51" s="23"/>
      <c r="H51" s="23">
        <v>1</v>
      </c>
      <c r="I51" s="25"/>
      <c r="J51" s="25"/>
      <c r="K51" s="34"/>
    </row>
    <row r="52" customHeight="1" spans="1:12">
      <c r="A52" s="74" t="s">
        <v>294</v>
      </c>
      <c r="B52" s="23" t="s">
        <v>259</v>
      </c>
      <c r="C52" s="1" t="s">
        <v>53</v>
      </c>
      <c r="D52" s="101" t="s">
        <v>54</v>
      </c>
      <c r="E52" s="29"/>
      <c r="F52" s="29"/>
      <c r="G52" s="23"/>
      <c r="H52" s="23">
        <v>1</v>
      </c>
      <c r="I52" s="25"/>
      <c r="J52" s="25"/>
      <c r="K52" s="34"/>
    </row>
    <row r="53" customHeight="1" spans="1:12">
      <c r="A53" s="74"/>
      <c r="B53" s="23"/>
      <c r="C53" s="1"/>
      <c r="D53" s="101"/>
      <c r="E53" s="29"/>
      <c r="F53" s="29"/>
      <c r="G53" s="23"/>
      <c r="H53" s="23"/>
      <c r="I53" s="25"/>
      <c r="J53" s="25"/>
      <c r="K53" s="34"/>
    </row>
    <row r="54" customHeight="1" spans="1:12">
      <c r="A54" s="74" t="s">
        <v>295</v>
      </c>
      <c r="B54" s="23" t="s">
        <v>296</v>
      </c>
      <c r="C54" s="1" t="s">
        <v>53</v>
      </c>
      <c r="D54" s="101" t="s">
        <v>54</v>
      </c>
      <c r="E54" s="29"/>
      <c r="F54" s="29"/>
      <c r="G54" s="23"/>
      <c r="H54" s="23">
        <v>1</v>
      </c>
      <c r="I54" s="25"/>
      <c r="J54" s="25"/>
      <c r="K54" s="34"/>
    </row>
    <row r="55" customHeight="1" spans="1:12">
      <c r="A55" s="74" t="s">
        <v>297</v>
      </c>
      <c r="B55" s="23" t="s">
        <v>298</v>
      </c>
      <c r="C55" s="23" t="s">
        <v>53</v>
      </c>
      <c r="D55" s="101" t="s">
        <v>52</v>
      </c>
      <c r="E55" s="29"/>
      <c r="F55" s="29"/>
      <c r="G55" s="23"/>
      <c r="H55" s="23">
        <v>1</v>
      </c>
      <c r="I55" s="25"/>
      <c r="J55" s="25"/>
      <c r="K55" s="34"/>
    </row>
    <row r="56" customHeight="1" spans="1:12">
      <c r="A56" s="74" t="s">
        <v>299</v>
      </c>
      <c r="B56" s="23" t="s">
        <v>300</v>
      </c>
      <c r="C56" s="1" t="s">
        <v>53</v>
      </c>
      <c r="D56" s="101"/>
      <c r="E56" s="29"/>
      <c r="F56" s="29"/>
      <c r="G56" s="23"/>
      <c r="H56" s="74"/>
      <c r="I56" s="25"/>
      <c r="J56" s="25"/>
      <c r="K56" s="34"/>
    </row>
    <row r="57" customHeight="1" spans="1:12">
      <c r="A57" s="74" t="s">
        <v>301</v>
      </c>
      <c r="B57" s="23" t="s">
        <v>302</v>
      </c>
      <c r="C57" s="1" t="s">
        <v>53</v>
      </c>
      <c r="D57" s="101" t="s">
        <v>54</v>
      </c>
      <c r="E57" s="29"/>
      <c r="F57" s="29"/>
      <c r="G57" s="23"/>
      <c r="H57" s="23">
        <v>1</v>
      </c>
      <c r="I57" s="25"/>
      <c r="J57" s="25"/>
      <c r="K57" s="34"/>
    </row>
    <row r="58" customHeight="1" spans="1:12">
      <c r="A58" s="74" t="s">
        <v>303</v>
      </c>
      <c r="B58" s="23" t="s">
        <v>304</v>
      </c>
      <c r="C58" s="1" t="s">
        <v>53</v>
      </c>
      <c r="D58" s="101" t="s">
        <v>54</v>
      </c>
      <c r="E58" s="29"/>
      <c r="F58" s="29"/>
      <c r="G58" s="23"/>
      <c r="H58" s="23">
        <v>1</v>
      </c>
      <c r="I58" s="25"/>
      <c r="J58" s="25"/>
      <c r="K58" s="34"/>
    </row>
    <row r="59" customHeight="1" spans="1:12">
      <c r="A59" s="78" t="s">
        <v>305</v>
      </c>
      <c r="C59" s="74" t="s">
        <v>10</v>
      </c>
      <c r="D59" s="74" t="s">
        <v>51</v>
      </c>
      <c r="E59" s="29">
        <v>45989</v>
      </c>
      <c r="F59" s="29"/>
      <c r="G59" s="23"/>
      <c r="H59" s="23">
        <v>1</v>
      </c>
      <c r="I59" s="25">
        <v>920</v>
      </c>
      <c r="J59" s="25"/>
      <c r="K59" s="85" t="s">
        <v>245</v>
      </c>
    </row>
    <row r="60" customHeight="1" spans="1:12">
      <c r="A60" s="94" t="s">
        <v>306</v>
      </c>
      <c r="B60" s="94" t="s">
        <v>241</v>
      </c>
      <c r="C60" s="74" t="s">
        <v>10</v>
      </c>
      <c r="D60" s="74" t="s">
        <v>51</v>
      </c>
      <c r="E60" s="102" t="s">
        <v>307</v>
      </c>
      <c r="F60" s="69"/>
      <c r="G60" s="74"/>
      <c r="H60" s="74">
        <v>1</v>
      </c>
      <c r="I60" s="76">
        <v>920</v>
      </c>
      <c r="J60" s="25"/>
      <c r="K60" s="85"/>
      <c r="L60" s="87" t="s">
        <v>308</v>
      </c>
    </row>
    <row r="61" customHeight="1" spans="1:12">
      <c r="A61" s="2" t="s">
        <v>309</v>
      </c>
      <c r="B61" s="2" t="s">
        <v>310</v>
      </c>
      <c r="C61" s="1" t="s">
        <v>53</v>
      </c>
      <c r="D61" s="78" t="s">
        <v>54</v>
      </c>
      <c r="E61" s="29">
        <v>45990</v>
      </c>
      <c r="F61" s="29">
        <v>45992</v>
      </c>
      <c r="G61" s="23">
        <f>F61-E61</f>
        <v>2</v>
      </c>
      <c r="H61" s="23">
        <v>1</v>
      </c>
      <c r="I61" s="25">
        <v>519</v>
      </c>
      <c r="J61" s="25">
        <f>I61*H61*G61</f>
        <v>1038</v>
      </c>
      <c r="K61" s="85" t="s">
        <v>245</v>
      </c>
      <c r="L61" s="103" t="s">
        <v>311</v>
      </c>
    </row>
    <row r="62" customHeight="1" spans="1:12">
      <c r="A62" s="2" t="s">
        <v>312</v>
      </c>
      <c r="B62" s="2"/>
      <c r="C62" s="1" t="s">
        <v>53</v>
      </c>
      <c r="D62" s="74" t="s">
        <v>242</v>
      </c>
      <c r="E62" s="29">
        <v>45990</v>
      </c>
      <c r="F62" s="29">
        <v>45992</v>
      </c>
      <c r="G62" s="23">
        <v>2</v>
      </c>
      <c r="H62" s="23">
        <v>1</v>
      </c>
      <c r="I62" s="25">
        <v>470</v>
      </c>
      <c r="J62" s="25">
        <f>I62*H62*G62</f>
        <v>940</v>
      </c>
      <c r="K62" s="85"/>
    </row>
    <row r="63" customHeight="1" spans="1:12">
      <c r="A63" s="2" t="s">
        <v>313</v>
      </c>
      <c r="B63" s="23" t="s">
        <v>314</v>
      </c>
      <c r="C63" s="74" t="s">
        <v>10</v>
      </c>
      <c r="D63" s="74" t="s">
        <v>229</v>
      </c>
      <c r="E63" s="29"/>
      <c r="F63" s="29"/>
      <c r="G63" s="23"/>
      <c r="H63" s="23">
        <v>1</v>
      </c>
      <c r="I63" s="25"/>
      <c r="J63" s="25"/>
      <c r="K63" s="85"/>
    </row>
    <row r="64" customHeight="1" spans="1:12">
      <c r="A64" s="18" t="s">
        <v>315</v>
      </c>
      <c r="B64" s="104" t="s">
        <v>316</v>
      </c>
      <c r="C64" s="74" t="s">
        <v>10</v>
      </c>
      <c r="D64" s="74" t="s">
        <v>229</v>
      </c>
      <c r="E64" s="105">
        <v>45989</v>
      </c>
      <c r="F64" s="24">
        <v>45991</v>
      </c>
      <c r="G64" s="1">
        <f t="shared" ref="G64:G69" si="4">F64-E64</f>
        <v>2</v>
      </c>
      <c r="H64" s="1">
        <v>1</v>
      </c>
      <c r="I64" s="1">
        <v>438</v>
      </c>
      <c r="J64" s="1">
        <f>G64*H64*I64</f>
        <v>876</v>
      </c>
      <c r="K64" s="85" t="s">
        <v>243</v>
      </c>
    </row>
    <row r="65" customHeight="1" spans="1:12">
      <c r="A65" s="1" t="s">
        <v>317</v>
      </c>
      <c r="B65" s="23" t="s">
        <v>318</v>
      </c>
      <c r="C65" s="74" t="s">
        <v>10</v>
      </c>
      <c r="D65" s="74" t="s">
        <v>78</v>
      </c>
      <c r="E65" s="73">
        <v>45989</v>
      </c>
      <c r="F65" s="73">
        <v>45993</v>
      </c>
      <c r="G65" s="23">
        <f t="shared" si="4"/>
        <v>4</v>
      </c>
      <c r="H65" s="23">
        <v>0</v>
      </c>
      <c r="I65" s="89"/>
      <c r="J65" s="89"/>
      <c r="K65" s="34"/>
      <c r="L65" s="106" t="s">
        <v>319</v>
      </c>
    </row>
    <row r="66" customHeight="1" spans="1:12">
      <c r="A66" s="1" t="s">
        <v>320</v>
      </c>
      <c r="B66" s="23" t="s">
        <v>321</v>
      </c>
      <c r="C66" s="74" t="s">
        <v>10</v>
      </c>
      <c r="D66" s="74" t="s">
        <v>229</v>
      </c>
      <c r="E66" s="29"/>
      <c r="F66" s="29"/>
      <c r="G66" s="23"/>
      <c r="H66" s="23">
        <v>1</v>
      </c>
      <c r="I66" s="25"/>
      <c r="J66" s="25"/>
      <c r="K66" s="34"/>
    </row>
    <row r="67" customHeight="1" spans="1:12">
      <c r="A67" s="1" t="s">
        <v>322</v>
      </c>
      <c r="B67" s="23" t="s">
        <v>323</v>
      </c>
      <c r="C67" s="74" t="s">
        <v>10</v>
      </c>
      <c r="D67" s="74" t="s">
        <v>229</v>
      </c>
      <c r="E67" s="29"/>
      <c r="F67" s="29"/>
      <c r="G67" s="23"/>
      <c r="H67" s="23">
        <v>1</v>
      </c>
      <c r="I67" s="25"/>
      <c r="J67" s="25"/>
      <c r="K67" s="34"/>
    </row>
    <row r="68" customHeight="1" spans="1:12">
      <c r="A68" s="2" t="s">
        <v>324</v>
      </c>
      <c r="B68" s="23" t="s">
        <v>325</v>
      </c>
      <c r="C68" s="74" t="s">
        <v>10</v>
      </c>
      <c r="D68" s="74" t="s">
        <v>229</v>
      </c>
      <c r="E68" s="29"/>
      <c r="F68" s="29"/>
      <c r="G68" s="23"/>
      <c r="H68" s="23">
        <v>1</v>
      </c>
      <c r="I68" s="25"/>
      <c r="J68" s="25"/>
      <c r="K68" s="34"/>
    </row>
    <row r="69" customHeight="1" spans="1:12">
      <c r="A69" s="1" t="s">
        <v>326</v>
      </c>
      <c r="B69" s="2" t="s">
        <v>327</v>
      </c>
      <c r="C69" s="74" t="s">
        <v>10</v>
      </c>
      <c r="D69" s="74" t="s">
        <v>229</v>
      </c>
      <c r="E69" s="105">
        <v>45990</v>
      </c>
      <c r="F69" s="24">
        <v>45991</v>
      </c>
      <c r="G69" s="1">
        <f t="shared" si="4"/>
        <v>1</v>
      </c>
      <c r="H69" s="1">
        <v>1</v>
      </c>
      <c r="I69" s="1">
        <v>438</v>
      </c>
      <c r="J69" s="1">
        <f>G69*H69*I69</f>
        <v>438</v>
      </c>
      <c r="K69" s="34"/>
    </row>
    <row r="70" customHeight="1" spans="1:12">
      <c r="A70" s="2" t="s">
        <v>328</v>
      </c>
      <c r="B70" s="2" t="s">
        <v>329</v>
      </c>
      <c r="C70" s="74" t="s">
        <v>10</v>
      </c>
      <c r="D70" s="74" t="s">
        <v>229</v>
      </c>
      <c r="E70" s="29"/>
      <c r="F70" s="29"/>
      <c r="G70" s="23"/>
      <c r="H70" s="23">
        <v>0</v>
      </c>
      <c r="I70" s="25"/>
      <c r="J70" s="25"/>
      <c r="K70" s="34"/>
      <c r="L70" s="107" t="s">
        <v>330</v>
      </c>
    </row>
    <row r="71" customHeight="1" spans="1:12">
      <c r="A71" s="2" t="s">
        <v>331</v>
      </c>
      <c r="B71" s="2" t="s">
        <v>332</v>
      </c>
      <c r="C71" s="2" t="s">
        <v>53</v>
      </c>
      <c r="D71" s="74" t="s">
        <v>333</v>
      </c>
      <c r="E71" s="73"/>
      <c r="F71" s="73"/>
      <c r="G71" s="23"/>
      <c r="H71" s="23">
        <v>1</v>
      </c>
      <c r="I71" s="25">
        <v>470</v>
      </c>
      <c r="J71" s="25"/>
      <c r="K71" s="85" t="s">
        <v>243</v>
      </c>
    </row>
    <row r="72" customHeight="1" spans="1:12">
      <c r="A72" s="2" t="s">
        <v>334</v>
      </c>
      <c r="B72" s="2" t="s">
        <v>335</v>
      </c>
      <c r="C72" s="74" t="s">
        <v>10</v>
      </c>
      <c r="D72" s="78" t="s">
        <v>248</v>
      </c>
      <c r="E72" s="29"/>
      <c r="F72" s="29"/>
      <c r="G72" s="23"/>
      <c r="H72" s="23">
        <v>5</v>
      </c>
      <c r="I72" s="25">
        <v>470</v>
      </c>
      <c r="J72" s="25"/>
      <c r="K72" s="85" t="s">
        <v>243</v>
      </c>
    </row>
    <row r="73" customHeight="1" spans="1:12">
      <c r="A73" s="2" t="s">
        <v>336</v>
      </c>
      <c r="B73" s="23"/>
      <c r="C73" s="2" t="s">
        <v>53</v>
      </c>
      <c r="D73" s="78" t="s">
        <v>51</v>
      </c>
      <c r="E73" s="83" t="s">
        <v>233</v>
      </c>
      <c r="F73" s="29"/>
      <c r="G73" s="23"/>
      <c r="H73" s="23">
        <v>1</v>
      </c>
      <c r="I73" s="25">
        <v>519</v>
      </c>
      <c r="J73" s="25"/>
      <c r="K73" s="85" t="s">
        <v>245</v>
      </c>
    </row>
    <row r="74" customHeight="1" spans="1:12">
      <c r="A74" s="1" t="s">
        <v>337</v>
      </c>
      <c r="B74" s="2" t="s">
        <v>338</v>
      </c>
      <c r="C74" s="2" t="s">
        <v>53</v>
      </c>
      <c r="D74" s="78" t="s">
        <v>51</v>
      </c>
      <c r="E74" s="83" t="s">
        <v>233</v>
      </c>
      <c r="F74" s="29"/>
      <c r="G74" s="23"/>
      <c r="H74" s="23">
        <v>1</v>
      </c>
      <c r="I74" s="25">
        <v>519</v>
      </c>
      <c r="J74" s="25"/>
      <c r="K74" s="85"/>
    </row>
    <row r="75" customHeight="1" spans="1:12">
      <c r="A75" s="74"/>
      <c r="B75" s="97"/>
      <c r="C75" s="2"/>
      <c r="D75" s="2"/>
      <c r="E75" s="29"/>
      <c r="F75" s="29"/>
      <c r="G75" s="23"/>
      <c r="H75" s="23"/>
      <c r="I75" s="89"/>
      <c r="J75" s="89"/>
      <c r="K75" s="85"/>
      <c r="L75" s="3"/>
    </row>
    <row r="76" customHeight="1" spans="1:12">
      <c r="A76" s="74" t="s">
        <v>339</v>
      </c>
      <c r="B76" s="97" t="s">
        <v>340</v>
      </c>
      <c r="C76" s="2" t="s">
        <v>10</v>
      </c>
      <c r="D76" s="2" t="s">
        <v>78</v>
      </c>
      <c r="E76" s="29">
        <v>45989</v>
      </c>
      <c r="F76" s="29">
        <v>45993</v>
      </c>
      <c r="G76" s="23">
        <v>4</v>
      </c>
      <c r="H76" s="23">
        <v>1</v>
      </c>
      <c r="I76" s="89">
        <v>470</v>
      </c>
      <c r="J76" s="89">
        <v>1880</v>
      </c>
      <c r="K76" s="85" t="s">
        <v>245</v>
      </c>
      <c r="L76" s="3" t="s">
        <v>341</v>
      </c>
    </row>
    <row r="77" customHeight="1" spans="1:12">
      <c r="A77" s="78" t="s">
        <v>342</v>
      </c>
      <c r="B77" s="97" t="s">
        <v>340</v>
      </c>
      <c r="C77" s="48" t="s">
        <v>10</v>
      </c>
      <c r="D77" s="48" t="s">
        <v>78</v>
      </c>
      <c r="E77" s="50">
        <v>45989</v>
      </c>
      <c r="F77" s="51">
        <v>45993</v>
      </c>
      <c r="G77" s="23">
        <v>4</v>
      </c>
      <c r="H77" s="23">
        <v>1</v>
      </c>
      <c r="I77" s="89">
        <v>470</v>
      </c>
      <c r="J77" s="89">
        <v>1880</v>
      </c>
      <c r="K77" s="85" t="s">
        <v>245</v>
      </c>
      <c r="L77" s="3" t="s">
        <v>213</v>
      </c>
    </row>
    <row r="78" customHeight="1" spans="1:12">
      <c r="A78" s="28" t="s">
        <v>343</v>
      </c>
      <c r="B78" s="23"/>
      <c r="C78" s="78" t="s">
        <v>10</v>
      </c>
      <c r="D78" s="78" t="s">
        <v>51</v>
      </c>
      <c r="E78" s="73">
        <v>45989</v>
      </c>
      <c r="F78" s="73">
        <v>45992</v>
      </c>
      <c r="G78" s="23">
        <v>3</v>
      </c>
      <c r="H78" s="23">
        <v>1</v>
      </c>
      <c r="I78" s="25">
        <v>920</v>
      </c>
      <c r="J78" s="25">
        <f>G78*H78*I78</f>
        <v>2760</v>
      </c>
      <c r="K78" s="85" t="s">
        <v>245</v>
      </c>
      <c r="L78" s="3" t="s">
        <v>213</v>
      </c>
    </row>
    <row r="79" customHeight="1" spans="1:12">
      <c r="A79" s="108" t="s">
        <v>344</v>
      </c>
      <c r="B79" s="23" t="s">
        <v>345</v>
      </c>
      <c r="C79" s="74" t="s">
        <v>10</v>
      </c>
      <c r="D79" s="78" t="s">
        <v>78</v>
      </c>
      <c r="E79" s="73">
        <v>45989</v>
      </c>
      <c r="F79" s="73">
        <v>45993</v>
      </c>
      <c r="G79" s="23">
        <f>F79-E79</f>
        <v>4</v>
      </c>
      <c r="H79" s="23">
        <v>1</v>
      </c>
      <c r="I79" s="89">
        <v>470</v>
      </c>
      <c r="J79" s="89">
        <f>G79*H79*I79</f>
        <v>1880</v>
      </c>
      <c r="K79" s="85" t="s">
        <v>245</v>
      </c>
      <c r="L79" s="3" t="s">
        <v>213</v>
      </c>
    </row>
    <row r="80" customHeight="1" spans="1:12">
      <c r="A80" s="78" t="s">
        <v>346</v>
      </c>
      <c r="B80" s="23"/>
      <c r="C80" s="2" t="s">
        <v>53</v>
      </c>
      <c r="D80" s="28" t="s">
        <v>347</v>
      </c>
      <c r="E80" s="29">
        <v>45989</v>
      </c>
      <c r="F80" s="29">
        <v>45993</v>
      </c>
      <c r="G80" s="23">
        <v>4</v>
      </c>
      <c r="H80" s="23">
        <v>1</v>
      </c>
      <c r="I80" s="89">
        <v>438</v>
      </c>
      <c r="J80" s="89">
        <f t="shared" ref="J80:J85" si="5">G80*H80*I80</f>
        <v>1752</v>
      </c>
      <c r="K80" s="85" t="s">
        <v>245</v>
      </c>
      <c r="L80" s="3" t="s">
        <v>341</v>
      </c>
    </row>
    <row r="81" customHeight="1" spans="1:12">
      <c r="A81" s="74" t="s">
        <v>348</v>
      </c>
      <c r="C81" s="2" t="s">
        <v>10</v>
      </c>
      <c r="D81" s="2" t="s">
        <v>78</v>
      </c>
      <c r="E81" s="29">
        <v>45990</v>
      </c>
      <c r="F81" s="29">
        <v>45994</v>
      </c>
      <c r="G81" s="23">
        <v>4</v>
      </c>
      <c r="H81" s="23">
        <v>1</v>
      </c>
      <c r="I81" s="89">
        <v>470</v>
      </c>
      <c r="J81" s="89">
        <f t="shared" si="5"/>
        <v>1880</v>
      </c>
      <c r="K81" s="85" t="s">
        <v>245</v>
      </c>
      <c r="L81" s="3" t="s">
        <v>226</v>
      </c>
    </row>
    <row r="82" customHeight="1" spans="1:12">
      <c r="A82" s="74" t="s">
        <v>349</v>
      </c>
      <c r="C82" s="2" t="s">
        <v>10</v>
      </c>
      <c r="D82" s="2" t="s">
        <v>78</v>
      </c>
      <c r="E82" s="29">
        <v>45990</v>
      </c>
      <c r="F82" s="29">
        <v>45994</v>
      </c>
      <c r="G82" s="23">
        <v>4</v>
      </c>
      <c r="H82" s="23">
        <v>1</v>
      </c>
      <c r="I82" s="89">
        <v>470</v>
      </c>
      <c r="J82" s="89">
        <f t="shared" si="5"/>
        <v>1880</v>
      </c>
      <c r="K82" s="85" t="s">
        <v>245</v>
      </c>
      <c r="L82" s="3" t="s">
        <v>226</v>
      </c>
    </row>
    <row r="83" customHeight="1" spans="1:12">
      <c r="A83" s="74" t="s">
        <v>350</v>
      </c>
      <c r="C83" s="2" t="s">
        <v>10</v>
      </c>
      <c r="D83" s="2" t="s">
        <v>248</v>
      </c>
      <c r="E83" s="29">
        <v>45990</v>
      </c>
      <c r="F83" s="29">
        <v>45994</v>
      </c>
      <c r="G83" s="23">
        <v>4</v>
      </c>
      <c r="H83" s="23">
        <v>1</v>
      </c>
      <c r="I83" s="89">
        <v>470</v>
      </c>
      <c r="J83" s="89">
        <f t="shared" si="5"/>
        <v>1880</v>
      </c>
      <c r="K83" s="85" t="s">
        <v>245</v>
      </c>
      <c r="L83" s="3" t="s">
        <v>226</v>
      </c>
    </row>
    <row r="84" customHeight="1" spans="1:12">
      <c r="A84" s="74" t="s">
        <v>351</v>
      </c>
      <c r="C84" s="2" t="s">
        <v>10</v>
      </c>
      <c r="D84" s="2" t="s">
        <v>78</v>
      </c>
      <c r="E84" s="29">
        <v>45989</v>
      </c>
      <c r="F84" s="29">
        <v>45993</v>
      </c>
      <c r="G84" s="23">
        <v>3</v>
      </c>
      <c r="H84" s="23">
        <v>1</v>
      </c>
      <c r="I84" s="89">
        <v>470</v>
      </c>
      <c r="J84" s="89">
        <f t="shared" si="5"/>
        <v>1410</v>
      </c>
      <c r="K84" s="85" t="s">
        <v>245</v>
      </c>
      <c r="L84" s="3" t="s">
        <v>226</v>
      </c>
    </row>
    <row r="85" customHeight="1" spans="1:12">
      <c r="A85" s="74" t="s">
        <v>352</v>
      </c>
      <c r="B85" s="23"/>
      <c r="C85" s="28" t="s">
        <v>53</v>
      </c>
      <c r="D85" s="28" t="s">
        <v>51</v>
      </c>
      <c r="E85" s="29">
        <v>45990</v>
      </c>
      <c r="F85" s="29">
        <v>45993</v>
      </c>
      <c r="G85" s="23">
        <v>3</v>
      </c>
      <c r="H85" s="23">
        <v>1</v>
      </c>
      <c r="I85" s="25">
        <v>470</v>
      </c>
      <c r="J85" s="25">
        <f t="shared" si="5"/>
        <v>1410</v>
      </c>
      <c r="K85" s="34" t="s">
        <v>245</v>
      </c>
    </row>
    <row r="86" customHeight="1" spans="1:12">
      <c r="A86" s="74" t="s">
        <v>353</v>
      </c>
      <c r="B86" s="23"/>
      <c r="C86" s="2" t="s">
        <v>10</v>
      </c>
      <c r="D86" s="2" t="s">
        <v>78</v>
      </c>
      <c r="E86" s="29">
        <v>45989</v>
      </c>
      <c r="F86" s="29">
        <v>45991</v>
      </c>
      <c r="G86" s="23">
        <f>F86-E86</f>
        <v>2</v>
      </c>
      <c r="H86" s="23">
        <v>1</v>
      </c>
      <c r="I86" s="89">
        <v>470</v>
      </c>
      <c r="J86" s="89">
        <f>I86*G86*H86</f>
        <v>940</v>
      </c>
      <c r="K86" s="85" t="s">
        <v>245</v>
      </c>
      <c r="L86" s="3" t="s">
        <v>213</v>
      </c>
    </row>
    <row r="87" customHeight="1" spans="1:12">
      <c r="A87" s="74" t="s">
        <v>354</v>
      </c>
      <c r="B87" s="78" t="s">
        <v>355</v>
      </c>
      <c r="C87" s="2" t="s">
        <v>10</v>
      </c>
      <c r="D87" s="2" t="s">
        <v>248</v>
      </c>
      <c r="E87" s="29">
        <v>45989</v>
      </c>
      <c r="F87" s="29">
        <v>45991</v>
      </c>
      <c r="G87" s="74">
        <f>F87-E87</f>
        <v>2</v>
      </c>
      <c r="H87" s="74">
        <v>1</v>
      </c>
      <c r="I87" s="91">
        <v>470</v>
      </c>
      <c r="J87" s="89">
        <f>I87*G87*H87</f>
        <v>940</v>
      </c>
      <c r="K87" s="85"/>
    </row>
    <row r="88" customHeight="1" spans="1:12">
      <c r="A88" s="74" t="s">
        <v>356</v>
      </c>
      <c r="B88" s="74" t="s">
        <v>357</v>
      </c>
      <c r="C88" s="74" t="s">
        <v>48</v>
      </c>
      <c r="D88" s="2" t="s">
        <v>358</v>
      </c>
      <c r="E88" s="81">
        <v>45989</v>
      </c>
      <c r="F88" s="81">
        <v>45990</v>
      </c>
      <c r="G88" s="74">
        <v>1</v>
      </c>
      <c r="H88" s="74">
        <v>0</v>
      </c>
      <c r="I88" s="76">
        <v>550</v>
      </c>
      <c r="J88" s="76">
        <v>500</v>
      </c>
      <c r="K88" s="80" t="s">
        <v>359</v>
      </c>
    </row>
    <row r="89" customHeight="1" spans="1:12">
      <c r="A89" s="74"/>
      <c r="B89" s="74"/>
      <c r="C89" s="74" t="s">
        <v>10</v>
      </c>
      <c r="D89" s="2" t="s">
        <v>78</v>
      </c>
      <c r="E89" s="69">
        <v>45990</v>
      </c>
      <c r="F89" s="81">
        <v>45993</v>
      </c>
      <c r="G89" s="74">
        <v>2</v>
      </c>
      <c r="H89" s="74">
        <v>1</v>
      </c>
      <c r="I89" s="91">
        <v>470</v>
      </c>
      <c r="J89" s="91">
        <f>G89*I89*H89</f>
        <v>940</v>
      </c>
      <c r="K89" s="85" t="s">
        <v>245</v>
      </c>
    </row>
    <row r="90" customHeight="1" spans="1:12">
      <c r="A90" s="74" t="s">
        <v>360</v>
      </c>
      <c r="B90" s="23"/>
      <c r="C90" s="2" t="s">
        <v>10</v>
      </c>
      <c r="D90" s="2" t="s">
        <v>229</v>
      </c>
      <c r="E90" s="29">
        <v>45989</v>
      </c>
      <c r="F90" s="29">
        <v>45990</v>
      </c>
      <c r="G90" s="23">
        <v>1</v>
      </c>
      <c r="H90" s="23">
        <v>0</v>
      </c>
      <c r="I90" s="76">
        <v>470</v>
      </c>
      <c r="J90" s="76">
        <f>G90*I90*H90</f>
        <v>0</v>
      </c>
      <c r="K90" s="85" t="s">
        <v>359</v>
      </c>
    </row>
    <row r="91" customHeight="1" spans="1:12">
      <c r="A91" s="74" t="s">
        <v>361</v>
      </c>
      <c r="B91" s="74" t="s">
        <v>274</v>
      </c>
      <c r="C91" s="74" t="s">
        <v>10</v>
      </c>
      <c r="D91" s="2" t="s">
        <v>229</v>
      </c>
      <c r="E91" s="69">
        <v>45989</v>
      </c>
      <c r="F91" s="69">
        <v>45993</v>
      </c>
      <c r="G91" s="74">
        <v>4</v>
      </c>
      <c r="H91" s="74">
        <v>0</v>
      </c>
      <c r="I91" s="76">
        <v>470</v>
      </c>
      <c r="J91" s="76">
        <v>1880</v>
      </c>
      <c r="K91" s="80" t="s">
        <v>230</v>
      </c>
    </row>
    <row r="92" customHeight="1" spans="1:12">
      <c r="A92" s="78" t="s">
        <v>362</v>
      </c>
      <c r="B92" s="94" t="s">
        <v>363</v>
      </c>
      <c r="C92" s="23" t="s">
        <v>10</v>
      </c>
      <c r="D92" s="2" t="s">
        <v>248</v>
      </c>
      <c r="E92" s="29">
        <v>45990</v>
      </c>
      <c r="F92" s="29">
        <v>45994</v>
      </c>
      <c r="G92" s="23">
        <v>4</v>
      </c>
      <c r="H92" s="23">
        <v>1</v>
      </c>
      <c r="I92" s="89">
        <v>470</v>
      </c>
      <c r="J92" s="89">
        <v>1880</v>
      </c>
      <c r="K92" s="85" t="s">
        <v>245</v>
      </c>
      <c r="L92" s="3" t="s">
        <v>226</v>
      </c>
    </row>
    <row r="93" customHeight="1" spans="1:12">
      <c r="A93" s="78" t="s">
        <v>364</v>
      </c>
      <c r="B93" s="94"/>
      <c r="C93" s="23" t="s">
        <v>10</v>
      </c>
      <c r="D93" s="2" t="s">
        <v>248</v>
      </c>
      <c r="E93" s="29">
        <v>45990</v>
      </c>
      <c r="F93" s="29">
        <v>45994</v>
      </c>
      <c r="G93" s="23">
        <v>4</v>
      </c>
      <c r="H93" s="23">
        <v>1</v>
      </c>
      <c r="I93" s="89">
        <v>470</v>
      </c>
      <c r="J93" s="89">
        <v>1880</v>
      </c>
      <c r="K93" s="85" t="s">
        <v>245</v>
      </c>
      <c r="L93" s="3" t="s">
        <v>226</v>
      </c>
    </row>
    <row r="94" customHeight="1" spans="1:12">
      <c r="A94" s="78" t="s">
        <v>365</v>
      </c>
      <c r="B94" s="94"/>
      <c r="C94" s="23" t="s">
        <v>10</v>
      </c>
      <c r="D94" s="2" t="s">
        <v>248</v>
      </c>
      <c r="E94" s="29">
        <v>45990</v>
      </c>
      <c r="F94" s="29">
        <v>45993</v>
      </c>
      <c r="G94" s="23">
        <v>3</v>
      </c>
      <c r="H94" s="23">
        <v>1</v>
      </c>
      <c r="I94" s="89">
        <v>470</v>
      </c>
      <c r="J94" s="89">
        <f>G94*H94*I94</f>
        <v>1410</v>
      </c>
      <c r="K94" s="85" t="s">
        <v>245</v>
      </c>
      <c r="L94" s="3" t="s">
        <v>226</v>
      </c>
    </row>
    <row r="95" customHeight="1" spans="1:12">
      <c r="A95" s="74" t="s">
        <v>366</v>
      </c>
      <c r="B95" s="78" t="s">
        <v>367</v>
      </c>
      <c r="C95" s="23" t="s">
        <v>10</v>
      </c>
      <c r="D95" s="2" t="s">
        <v>76</v>
      </c>
      <c r="E95" s="29">
        <v>45989</v>
      </c>
      <c r="F95" s="29">
        <v>45993</v>
      </c>
      <c r="G95" s="23">
        <v>4</v>
      </c>
      <c r="H95" s="23">
        <v>1</v>
      </c>
      <c r="I95" s="25">
        <v>470</v>
      </c>
      <c r="J95" s="25">
        <v>1880</v>
      </c>
      <c r="K95" s="34"/>
    </row>
    <row r="96" customHeight="1" spans="1:12">
      <c r="A96" s="74" t="s">
        <v>368</v>
      </c>
      <c r="B96" s="78"/>
      <c r="C96" s="23" t="s">
        <v>10</v>
      </c>
      <c r="D96" s="2" t="s">
        <v>78</v>
      </c>
      <c r="E96" s="29">
        <v>45989</v>
      </c>
      <c r="F96" s="29">
        <v>45993</v>
      </c>
      <c r="G96" s="23">
        <v>4</v>
      </c>
      <c r="H96" s="23">
        <v>1</v>
      </c>
      <c r="I96" s="89">
        <v>470</v>
      </c>
      <c r="J96" s="89">
        <v>1880</v>
      </c>
      <c r="K96" s="85" t="s">
        <v>245</v>
      </c>
    </row>
    <row r="97" customHeight="1" spans="1:12">
      <c r="A97" s="109" t="s">
        <v>369</v>
      </c>
      <c r="B97" s="78"/>
      <c r="C97" s="23" t="s">
        <v>10</v>
      </c>
      <c r="D97" s="2" t="s">
        <v>78</v>
      </c>
      <c r="E97" s="29"/>
      <c r="F97" s="29"/>
      <c r="G97" s="23"/>
      <c r="H97" s="23">
        <v>1</v>
      </c>
      <c r="I97" s="89"/>
      <c r="J97" s="89"/>
      <c r="K97" s="34"/>
    </row>
    <row r="98" customHeight="1" spans="1:12">
      <c r="A98" s="74" t="s">
        <v>370</v>
      </c>
      <c r="B98" s="78"/>
      <c r="C98" s="74" t="s">
        <v>48</v>
      </c>
      <c r="D98" s="2" t="s">
        <v>371</v>
      </c>
      <c r="E98" s="29">
        <v>45989</v>
      </c>
      <c r="F98" s="29">
        <v>45993</v>
      </c>
      <c r="G98" s="74">
        <f>F98-E98</f>
        <v>4</v>
      </c>
      <c r="H98" s="74">
        <v>1</v>
      </c>
      <c r="I98" s="74">
        <v>550</v>
      </c>
      <c r="J98" s="74">
        <f>G98*I98*H98</f>
        <v>2200</v>
      </c>
      <c r="K98" s="85" t="s">
        <v>245</v>
      </c>
    </row>
    <row r="99" customHeight="1" spans="1:12">
      <c r="A99" s="74" t="s">
        <v>372</v>
      </c>
      <c r="B99" s="78"/>
      <c r="C99" s="23" t="s">
        <v>10</v>
      </c>
      <c r="D99" s="2" t="s">
        <v>78</v>
      </c>
      <c r="E99" s="29">
        <v>45989</v>
      </c>
      <c r="F99" s="29">
        <v>45993</v>
      </c>
      <c r="G99" s="23">
        <v>4</v>
      </c>
      <c r="H99" s="23">
        <v>1</v>
      </c>
      <c r="I99" s="89">
        <v>470</v>
      </c>
      <c r="J99" s="89">
        <v>1880</v>
      </c>
      <c r="K99" s="85" t="s">
        <v>245</v>
      </c>
    </row>
    <row r="100" customHeight="1" spans="1:12">
      <c r="A100" s="74" t="s">
        <v>373</v>
      </c>
      <c r="B100" s="78"/>
      <c r="C100" s="23" t="s">
        <v>10</v>
      </c>
      <c r="D100" s="2" t="s">
        <v>78</v>
      </c>
      <c r="E100" s="29">
        <v>45989</v>
      </c>
      <c r="F100" s="29">
        <v>45993</v>
      </c>
      <c r="G100" s="23">
        <v>4</v>
      </c>
      <c r="H100" s="23">
        <v>1</v>
      </c>
      <c r="I100" s="89">
        <v>470</v>
      </c>
      <c r="J100" s="89">
        <v>1880</v>
      </c>
      <c r="K100" s="85" t="s">
        <v>245</v>
      </c>
    </row>
    <row r="101" customHeight="1" spans="1:12">
      <c r="A101" s="110" t="s">
        <v>374</v>
      </c>
      <c r="B101" s="2" t="s">
        <v>375</v>
      </c>
      <c r="C101" s="2" t="s">
        <v>376</v>
      </c>
      <c r="D101" s="2" t="s">
        <v>377</v>
      </c>
      <c r="E101" s="29">
        <v>45989</v>
      </c>
      <c r="F101" s="29">
        <v>45993</v>
      </c>
      <c r="G101" s="23">
        <v>4</v>
      </c>
      <c r="H101" s="23">
        <v>1</v>
      </c>
      <c r="I101" s="25">
        <v>280</v>
      </c>
      <c r="J101" s="25">
        <f>G101*H101*I101</f>
        <v>1120</v>
      </c>
      <c r="K101" s="85" t="s">
        <v>245</v>
      </c>
      <c r="L101" s="3" t="s">
        <v>378</v>
      </c>
    </row>
    <row r="102" customHeight="1" spans="1:12">
      <c r="A102" s="110" t="s">
        <v>379</v>
      </c>
      <c r="B102" s="2"/>
      <c r="C102" s="2"/>
      <c r="D102" s="2" t="s">
        <v>377</v>
      </c>
      <c r="E102" s="29">
        <v>45989</v>
      </c>
      <c r="F102" s="29">
        <v>45994</v>
      </c>
      <c r="G102" s="23">
        <v>5</v>
      </c>
      <c r="H102" s="23">
        <v>1</v>
      </c>
      <c r="I102" s="25">
        <v>280</v>
      </c>
      <c r="J102" s="25">
        <f>G102*H102*I102</f>
        <v>1400</v>
      </c>
      <c r="K102" s="85"/>
    </row>
    <row r="103" customHeight="1" spans="1:12">
      <c r="A103" s="110" t="s">
        <v>380</v>
      </c>
      <c r="B103" s="2"/>
      <c r="C103" s="2"/>
      <c r="D103" s="2" t="s">
        <v>377</v>
      </c>
      <c r="E103" s="29">
        <v>45989</v>
      </c>
      <c r="F103" s="29">
        <v>45993</v>
      </c>
      <c r="G103" s="23">
        <v>4</v>
      </c>
      <c r="H103" s="23">
        <v>1</v>
      </c>
      <c r="I103" s="25">
        <v>280</v>
      </c>
      <c r="J103" s="25">
        <f t="shared" ref="J103:J126" si="6">G103*H103*I103</f>
        <v>1120</v>
      </c>
      <c r="K103" s="85"/>
    </row>
    <row r="104" customHeight="1" spans="1:12">
      <c r="A104" s="110" t="s">
        <v>381</v>
      </c>
      <c r="B104" s="2"/>
      <c r="C104" s="2"/>
      <c r="D104" s="2" t="s">
        <v>377</v>
      </c>
      <c r="E104" s="29">
        <v>45989</v>
      </c>
      <c r="F104" s="29">
        <v>45993</v>
      </c>
      <c r="G104" s="23">
        <v>4</v>
      </c>
      <c r="H104" s="23">
        <v>1</v>
      </c>
      <c r="I104" s="25">
        <v>280</v>
      </c>
      <c r="J104" s="25">
        <f t="shared" si="6"/>
        <v>1120</v>
      </c>
      <c r="K104" s="85"/>
    </row>
    <row r="105" customHeight="1" spans="1:12">
      <c r="A105" s="110" t="s">
        <v>382</v>
      </c>
      <c r="B105" s="2"/>
      <c r="C105" s="2"/>
      <c r="D105" s="2" t="s">
        <v>377</v>
      </c>
      <c r="E105" s="29">
        <v>45989</v>
      </c>
      <c r="F105" s="29">
        <v>45993</v>
      </c>
      <c r="G105" s="23">
        <v>4</v>
      </c>
      <c r="H105" s="23">
        <v>1</v>
      </c>
      <c r="I105" s="25">
        <v>280</v>
      </c>
      <c r="J105" s="25">
        <f t="shared" si="6"/>
        <v>1120</v>
      </c>
      <c r="K105" s="85"/>
    </row>
    <row r="106" customHeight="1" spans="1:12">
      <c r="A106" s="110" t="s">
        <v>383</v>
      </c>
      <c r="B106" s="2"/>
      <c r="C106" s="2"/>
      <c r="D106" s="2" t="s">
        <v>384</v>
      </c>
      <c r="E106" s="29">
        <v>45989</v>
      </c>
      <c r="F106" s="29">
        <v>45993</v>
      </c>
      <c r="G106" s="23">
        <v>4</v>
      </c>
      <c r="H106" s="23">
        <v>1</v>
      </c>
      <c r="I106" s="25">
        <v>280</v>
      </c>
      <c r="J106" s="25">
        <f t="shared" si="6"/>
        <v>1120</v>
      </c>
      <c r="K106" s="85"/>
    </row>
    <row r="107" customHeight="1" spans="1:12">
      <c r="A107" s="110" t="s">
        <v>385</v>
      </c>
      <c r="B107" s="2"/>
      <c r="C107" s="2"/>
      <c r="D107" s="2" t="s">
        <v>377</v>
      </c>
      <c r="E107" s="29">
        <v>45989</v>
      </c>
      <c r="F107" s="29">
        <v>45993</v>
      </c>
      <c r="G107" s="23">
        <v>4</v>
      </c>
      <c r="H107" s="23">
        <v>1</v>
      </c>
      <c r="I107" s="25">
        <v>280</v>
      </c>
      <c r="J107" s="25">
        <f t="shared" si="6"/>
        <v>1120</v>
      </c>
      <c r="K107" s="85"/>
    </row>
    <row r="108" customHeight="1" spans="1:12">
      <c r="A108" s="110" t="s">
        <v>386</v>
      </c>
      <c r="B108" s="2"/>
      <c r="C108" s="2"/>
      <c r="D108" s="2" t="s">
        <v>377</v>
      </c>
      <c r="E108" s="29" t="s">
        <v>387</v>
      </c>
      <c r="F108" s="29" t="s">
        <v>388</v>
      </c>
      <c r="G108" s="23">
        <v>4</v>
      </c>
      <c r="H108" s="23">
        <v>1</v>
      </c>
      <c r="I108" s="25">
        <v>280</v>
      </c>
      <c r="J108" s="25">
        <f t="shared" si="6"/>
        <v>1120</v>
      </c>
      <c r="K108" s="85"/>
    </row>
    <row r="109" customHeight="1" spans="1:12">
      <c r="A109" s="110" t="s">
        <v>389</v>
      </c>
      <c r="B109" s="2"/>
      <c r="C109" s="2"/>
      <c r="D109" s="2" t="s">
        <v>377</v>
      </c>
      <c r="E109" s="29">
        <v>45989</v>
      </c>
      <c r="F109" s="29">
        <v>45991</v>
      </c>
      <c r="G109" s="23">
        <f>F109-E109</f>
        <v>2</v>
      </c>
      <c r="H109" s="23">
        <v>1</v>
      </c>
      <c r="I109" s="25">
        <v>280</v>
      </c>
      <c r="J109" s="25">
        <f t="shared" si="6"/>
        <v>560</v>
      </c>
      <c r="K109" s="85"/>
    </row>
    <row r="110" customHeight="1" spans="1:12">
      <c r="A110" s="110" t="s">
        <v>390</v>
      </c>
      <c r="B110" s="2"/>
      <c r="C110" s="2"/>
      <c r="D110" s="2" t="s">
        <v>377</v>
      </c>
      <c r="E110" s="29">
        <v>45989</v>
      </c>
      <c r="F110" s="29">
        <v>45993</v>
      </c>
      <c r="G110" s="23">
        <v>4</v>
      </c>
      <c r="H110" s="23">
        <v>1</v>
      </c>
      <c r="I110" s="25">
        <v>280</v>
      </c>
      <c r="J110" s="25">
        <f t="shared" si="6"/>
        <v>1120</v>
      </c>
      <c r="K110" s="85"/>
    </row>
    <row r="111" customHeight="1" spans="1:12">
      <c r="A111" s="110" t="s">
        <v>391</v>
      </c>
      <c r="B111" s="2"/>
      <c r="C111" s="2"/>
      <c r="D111" s="2" t="s">
        <v>377</v>
      </c>
      <c r="E111" s="29">
        <v>45989</v>
      </c>
      <c r="F111" s="29">
        <v>45993</v>
      </c>
      <c r="G111" s="23">
        <v>4</v>
      </c>
      <c r="H111" s="23">
        <v>1</v>
      </c>
      <c r="I111" s="25">
        <v>280</v>
      </c>
      <c r="J111" s="25">
        <f t="shared" si="6"/>
        <v>1120</v>
      </c>
      <c r="K111" s="85"/>
    </row>
    <row r="112" customHeight="1" spans="1:12">
      <c r="A112" s="110" t="s">
        <v>392</v>
      </c>
      <c r="B112" s="2"/>
      <c r="C112" s="2"/>
      <c r="D112" s="2" t="s">
        <v>377</v>
      </c>
      <c r="E112" s="29" t="s">
        <v>393</v>
      </c>
      <c r="F112" s="29">
        <v>45993</v>
      </c>
      <c r="G112" s="23">
        <v>4</v>
      </c>
      <c r="H112" s="23">
        <v>1</v>
      </c>
      <c r="I112" s="25">
        <v>280</v>
      </c>
      <c r="J112" s="25">
        <f t="shared" si="6"/>
        <v>1120</v>
      </c>
      <c r="K112" s="85"/>
    </row>
    <row r="113" customHeight="1" spans="1:12">
      <c r="A113" s="110" t="s">
        <v>394</v>
      </c>
      <c r="B113" s="2"/>
      <c r="C113" s="2"/>
      <c r="D113" s="2" t="s">
        <v>377</v>
      </c>
      <c r="E113" s="29">
        <v>45989</v>
      </c>
      <c r="F113" s="29">
        <v>45993</v>
      </c>
      <c r="G113" s="23">
        <v>4</v>
      </c>
      <c r="H113" s="23">
        <v>1</v>
      </c>
      <c r="I113" s="25">
        <v>280</v>
      </c>
      <c r="J113" s="25">
        <f t="shared" si="6"/>
        <v>1120</v>
      </c>
      <c r="K113" s="85"/>
    </row>
    <row r="114" customHeight="1" spans="1:12">
      <c r="A114" s="110" t="s">
        <v>395</v>
      </c>
      <c r="B114" s="2"/>
      <c r="C114" s="2"/>
      <c r="D114" s="2" t="s">
        <v>377</v>
      </c>
      <c r="E114" s="29">
        <v>45989</v>
      </c>
      <c r="F114" s="29">
        <v>45993</v>
      </c>
      <c r="G114" s="23">
        <v>5</v>
      </c>
      <c r="H114" s="23">
        <v>1</v>
      </c>
      <c r="I114" s="25">
        <v>280</v>
      </c>
      <c r="J114" s="25">
        <v>1120</v>
      </c>
      <c r="K114" s="85"/>
    </row>
    <row r="115" customHeight="1" spans="1:12">
      <c r="A115" s="110" t="s">
        <v>396</v>
      </c>
      <c r="B115" s="2"/>
      <c r="C115" s="2"/>
      <c r="D115" s="2" t="s">
        <v>377</v>
      </c>
      <c r="E115" s="29">
        <v>45989</v>
      </c>
      <c r="F115" s="29">
        <v>45993</v>
      </c>
      <c r="G115" s="23">
        <v>4</v>
      </c>
      <c r="H115" s="23">
        <v>1</v>
      </c>
      <c r="I115" s="25">
        <v>280</v>
      </c>
      <c r="J115" s="25">
        <f t="shared" si="6"/>
        <v>1120</v>
      </c>
      <c r="K115" s="85"/>
    </row>
    <row r="116" customHeight="1" spans="1:12">
      <c r="A116" s="110" t="s">
        <v>397</v>
      </c>
      <c r="B116" s="2"/>
      <c r="C116" s="2"/>
      <c r="D116" s="2" t="s">
        <v>377</v>
      </c>
      <c r="E116" s="29">
        <v>45989</v>
      </c>
      <c r="F116" s="29">
        <v>45993</v>
      </c>
      <c r="G116" s="23">
        <v>4</v>
      </c>
      <c r="H116" s="23">
        <v>1</v>
      </c>
      <c r="I116" s="25">
        <v>280</v>
      </c>
      <c r="J116" s="25">
        <f t="shared" si="6"/>
        <v>1120</v>
      </c>
      <c r="K116" s="85"/>
    </row>
    <row r="117" customHeight="1" spans="1:12">
      <c r="A117" s="110" t="s">
        <v>398</v>
      </c>
      <c r="B117" s="2"/>
      <c r="C117" s="2"/>
      <c r="D117" s="2" t="s">
        <v>377</v>
      </c>
      <c r="E117" s="29">
        <v>45989</v>
      </c>
      <c r="F117" s="29">
        <v>45993</v>
      </c>
      <c r="G117" s="23">
        <v>4</v>
      </c>
      <c r="H117" s="23">
        <v>1</v>
      </c>
      <c r="I117" s="25">
        <v>280</v>
      </c>
      <c r="J117" s="25">
        <f t="shared" si="6"/>
        <v>1120</v>
      </c>
      <c r="K117" s="85"/>
    </row>
    <row r="118" customHeight="1" spans="1:12">
      <c r="A118" s="110" t="s">
        <v>399</v>
      </c>
      <c r="B118" s="2"/>
      <c r="C118" s="2"/>
      <c r="D118" s="2" t="s">
        <v>377</v>
      </c>
      <c r="E118" s="29" t="s">
        <v>387</v>
      </c>
      <c r="F118" s="29" t="s">
        <v>400</v>
      </c>
      <c r="G118" s="23">
        <v>4</v>
      </c>
      <c r="H118" s="23">
        <v>1</v>
      </c>
      <c r="I118" s="25">
        <v>280</v>
      </c>
      <c r="J118" s="25">
        <f t="shared" si="6"/>
        <v>1120</v>
      </c>
      <c r="K118" s="85"/>
    </row>
    <row r="119" customHeight="1" spans="1:12">
      <c r="A119" s="110" t="s">
        <v>401</v>
      </c>
      <c r="B119" s="2"/>
      <c r="C119" s="2"/>
      <c r="D119" s="2" t="s">
        <v>377</v>
      </c>
      <c r="E119" s="29" t="s">
        <v>402</v>
      </c>
      <c r="F119" s="29" t="s">
        <v>403</v>
      </c>
      <c r="G119" s="23">
        <v>5</v>
      </c>
      <c r="H119" s="23">
        <v>1</v>
      </c>
      <c r="I119" s="25">
        <v>280</v>
      </c>
      <c r="J119" s="25">
        <f t="shared" si="6"/>
        <v>1400</v>
      </c>
      <c r="K119" s="85"/>
    </row>
    <row r="120" customHeight="1" spans="1:12">
      <c r="A120" s="110" t="s">
        <v>404</v>
      </c>
      <c r="B120" s="2"/>
      <c r="C120" s="2"/>
      <c r="D120" s="2" t="s">
        <v>377</v>
      </c>
      <c r="E120" s="83" t="s">
        <v>405</v>
      </c>
      <c r="F120" s="29">
        <v>45993</v>
      </c>
      <c r="G120" s="23">
        <v>4</v>
      </c>
      <c r="H120" s="23">
        <v>1</v>
      </c>
      <c r="I120" s="25">
        <v>280</v>
      </c>
      <c r="J120" s="25">
        <f t="shared" si="6"/>
        <v>1120</v>
      </c>
      <c r="K120" s="85"/>
    </row>
    <row r="121" customHeight="1" spans="1:12">
      <c r="A121" s="110" t="s">
        <v>406</v>
      </c>
      <c r="B121" s="2"/>
      <c r="C121" s="2"/>
      <c r="D121" s="2" t="s">
        <v>377</v>
      </c>
      <c r="E121" s="29">
        <v>45988</v>
      </c>
      <c r="F121" s="29">
        <v>45993</v>
      </c>
      <c r="G121" s="23">
        <v>5</v>
      </c>
      <c r="H121" s="23">
        <v>1</v>
      </c>
      <c r="I121" s="25">
        <v>280</v>
      </c>
      <c r="J121" s="25">
        <f t="shared" si="6"/>
        <v>1400</v>
      </c>
      <c r="K121" s="85"/>
    </row>
    <row r="122" customHeight="1" spans="1:12">
      <c r="A122" s="110" t="s">
        <v>407</v>
      </c>
      <c r="B122" s="2"/>
      <c r="C122" s="2"/>
      <c r="D122" s="2" t="s">
        <v>377</v>
      </c>
      <c r="E122" s="29">
        <v>45989</v>
      </c>
      <c r="F122" s="29">
        <v>45993</v>
      </c>
      <c r="G122" s="23">
        <v>4</v>
      </c>
      <c r="H122" s="23">
        <v>1</v>
      </c>
      <c r="I122" s="25">
        <v>280</v>
      </c>
      <c r="J122" s="25">
        <f t="shared" si="6"/>
        <v>1120</v>
      </c>
      <c r="K122" s="85"/>
    </row>
    <row r="123" customHeight="1" spans="1:12">
      <c r="A123" s="2" t="s">
        <v>408</v>
      </c>
      <c r="B123" s="2" t="s">
        <v>409</v>
      </c>
      <c r="C123" s="2" t="s">
        <v>53</v>
      </c>
      <c r="D123" s="2" t="s">
        <v>242</v>
      </c>
      <c r="E123" s="29">
        <v>45989</v>
      </c>
      <c r="F123" s="29">
        <v>45992</v>
      </c>
      <c r="G123" s="23">
        <f>F123-E123</f>
        <v>3</v>
      </c>
      <c r="H123" s="23">
        <v>1</v>
      </c>
      <c r="I123" s="25">
        <v>470</v>
      </c>
      <c r="J123" s="89">
        <f t="shared" si="6"/>
        <v>1410</v>
      </c>
      <c r="K123" s="85" t="s">
        <v>245</v>
      </c>
      <c r="L123" s="3" t="s">
        <v>213</v>
      </c>
    </row>
    <row r="124" customHeight="1" spans="1:12">
      <c r="A124" s="2" t="s">
        <v>410</v>
      </c>
      <c r="B124" s="23"/>
      <c r="C124" s="2" t="s">
        <v>53</v>
      </c>
      <c r="D124" s="2" t="s">
        <v>242</v>
      </c>
      <c r="E124" s="29">
        <v>45989</v>
      </c>
      <c r="F124" s="29">
        <v>45993</v>
      </c>
      <c r="G124" s="23">
        <f>F124-E124</f>
        <v>4</v>
      </c>
      <c r="H124" s="1">
        <v>1</v>
      </c>
      <c r="I124" s="25">
        <v>470</v>
      </c>
      <c r="J124" s="89">
        <f t="shared" si="6"/>
        <v>1880</v>
      </c>
      <c r="K124" s="85" t="s">
        <v>411</v>
      </c>
    </row>
    <row r="125" customHeight="1" spans="1:12">
      <c r="A125" s="2" t="s">
        <v>412</v>
      </c>
      <c r="B125" s="23"/>
      <c r="C125" s="2" t="s">
        <v>53</v>
      </c>
      <c r="D125" s="2" t="s">
        <v>242</v>
      </c>
      <c r="E125" s="29">
        <v>45989</v>
      </c>
      <c r="F125" s="29">
        <v>45992</v>
      </c>
      <c r="G125" s="23">
        <f>F125-E125</f>
        <v>3</v>
      </c>
      <c r="H125" s="1">
        <v>1</v>
      </c>
      <c r="I125" s="25">
        <v>470</v>
      </c>
      <c r="J125" s="89">
        <f t="shared" si="6"/>
        <v>1410</v>
      </c>
      <c r="K125" s="85" t="s">
        <v>413</v>
      </c>
    </row>
    <row r="126" customHeight="1" spans="1:12">
      <c r="A126" s="1" t="s">
        <v>414</v>
      </c>
      <c r="C126" s="2" t="s">
        <v>53</v>
      </c>
      <c r="D126" s="88" t="s">
        <v>229</v>
      </c>
      <c r="E126" s="29">
        <v>45989</v>
      </c>
      <c r="F126" s="29">
        <v>45991</v>
      </c>
      <c r="G126" s="23">
        <f>F126-E126</f>
        <v>2</v>
      </c>
      <c r="H126" s="1">
        <v>1</v>
      </c>
      <c r="I126" s="1">
        <v>438</v>
      </c>
      <c r="J126" s="1">
        <f>G126*I126</f>
        <v>876</v>
      </c>
      <c r="K126" s="85" t="s">
        <v>243</v>
      </c>
    </row>
    <row r="127" customHeight="1" spans="1:12">
      <c r="A127" s="2" t="s">
        <v>415</v>
      </c>
      <c r="B127" s="2" t="s">
        <v>416</v>
      </c>
      <c r="C127" s="2" t="s">
        <v>53</v>
      </c>
      <c r="D127" s="99" t="s">
        <v>55</v>
      </c>
      <c r="E127" s="111"/>
      <c r="F127" s="111"/>
      <c r="G127" s="112"/>
      <c r="H127" s="112">
        <v>1</v>
      </c>
      <c r="I127" s="113">
        <v>519</v>
      </c>
      <c r="J127" s="25"/>
      <c r="K127" s="85" t="s">
        <v>245</v>
      </c>
      <c r="L127" s="90" t="s">
        <v>417</v>
      </c>
    </row>
    <row r="128" customHeight="1" spans="1:12">
      <c r="A128" s="78" t="s">
        <v>418</v>
      </c>
      <c r="B128" s="23"/>
      <c r="C128" s="2" t="s">
        <v>53</v>
      </c>
      <c r="D128" s="99" t="s">
        <v>55</v>
      </c>
      <c r="E128" s="29">
        <v>45990</v>
      </c>
      <c r="F128" s="29">
        <v>45991</v>
      </c>
      <c r="G128" s="114">
        <v>1</v>
      </c>
      <c r="H128" s="114">
        <v>1</v>
      </c>
      <c r="I128" s="114">
        <v>920</v>
      </c>
      <c r="J128" s="115"/>
      <c r="K128" s="85"/>
    </row>
    <row r="129" customHeight="1" spans="1:12">
      <c r="A129" s="78" t="s">
        <v>419</v>
      </c>
      <c r="B129" s="23"/>
      <c r="C129" s="2" t="s">
        <v>53</v>
      </c>
      <c r="D129" s="116" t="s">
        <v>333</v>
      </c>
      <c r="E129" s="29">
        <v>45989</v>
      </c>
      <c r="F129" s="117" t="s">
        <v>420</v>
      </c>
      <c r="G129" s="114"/>
      <c r="H129" s="114">
        <v>1</v>
      </c>
      <c r="I129" s="114">
        <v>470</v>
      </c>
      <c r="J129" s="118"/>
      <c r="K129" s="85"/>
    </row>
    <row r="130" customHeight="1" spans="1:12">
      <c r="A130" s="78" t="s">
        <v>421</v>
      </c>
      <c r="B130" s="23"/>
      <c r="C130" s="2" t="s">
        <v>53</v>
      </c>
      <c r="D130" s="78" t="s">
        <v>333</v>
      </c>
      <c r="E130" s="29">
        <v>45989</v>
      </c>
      <c r="F130" s="29">
        <v>45991</v>
      </c>
      <c r="G130" s="97">
        <v>2</v>
      </c>
      <c r="H130" s="97">
        <v>1</v>
      </c>
      <c r="I130" s="97">
        <v>470</v>
      </c>
      <c r="J130" s="97">
        <f>G130*H130*I130</f>
        <v>940</v>
      </c>
      <c r="K130" s="85"/>
    </row>
    <row r="131" customHeight="1" spans="1:12">
      <c r="A131" s="78" t="s">
        <v>422</v>
      </c>
      <c r="B131" s="78" t="s">
        <v>423</v>
      </c>
      <c r="C131" s="74" t="s">
        <v>48</v>
      </c>
      <c r="D131" s="2" t="s">
        <v>358</v>
      </c>
      <c r="E131" s="29">
        <v>45989</v>
      </c>
      <c r="F131" s="29">
        <v>45992</v>
      </c>
      <c r="G131" s="74">
        <f t="shared" ref="G131:G136" si="7">F131-E131</f>
        <v>3</v>
      </c>
      <c r="H131" s="74">
        <v>1</v>
      </c>
      <c r="I131" s="74">
        <v>500</v>
      </c>
      <c r="J131" s="74">
        <f>G131*H131*I131</f>
        <v>1500</v>
      </c>
      <c r="K131" s="85" t="s">
        <v>243</v>
      </c>
      <c r="L131" s="3" t="s">
        <v>213</v>
      </c>
    </row>
    <row r="132" customHeight="1" spans="1:12">
      <c r="A132" s="78" t="s">
        <v>424</v>
      </c>
      <c r="B132" s="78"/>
      <c r="C132" s="74" t="s">
        <v>48</v>
      </c>
      <c r="D132" s="2" t="s">
        <v>358</v>
      </c>
      <c r="E132" s="29">
        <v>45989</v>
      </c>
      <c r="F132" s="29">
        <v>45992</v>
      </c>
      <c r="G132" s="74">
        <f t="shared" si="7"/>
        <v>3</v>
      </c>
      <c r="H132" s="74">
        <v>1</v>
      </c>
      <c r="I132" s="74">
        <v>500</v>
      </c>
      <c r="J132" s="74">
        <f>G132*H132*I132</f>
        <v>1500</v>
      </c>
      <c r="K132" s="85" t="s">
        <v>243</v>
      </c>
    </row>
    <row r="133" customHeight="1" spans="1:12">
      <c r="A133" s="78" t="s">
        <v>425</v>
      </c>
      <c r="B133" s="78"/>
      <c r="C133" s="74" t="s">
        <v>48</v>
      </c>
      <c r="D133" s="2" t="s">
        <v>358</v>
      </c>
      <c r="E133" s="29">
        <v>45989</v>
      </c>
      <c r="F133" s="29">
        <v>45992</v>
      </c>
      <c r="G133" s="74">
        <f t="shared" si="7"/>
        <v>3</v>
      </c>
      <c r="H133" s="74">
        <v>1</v>
      </c>
      <c r="I133" s="74">
        <v>500</v>
      </c>
      <c r="J133" s="74">
        <f>G133*H133*I133</f>
        <v>1500</v>
      </c>
      <c r="K133" s="85" t="s">
        <v>243</v>
      </c>
    </row>
    <row r="134" customHeight="1" spans="1:12">
      <c r="A134" s="78" t="s">
        <v>426</v>
      </c>
      <c r="B134" s="78"/>
      <c r="C134" s="74" t="s">
        <v>48</v>
      </c>
      <c r="D134" s="2" t="s">
        <v>358</v>
      </c>
      <c r="E134" s="29">
        <v>45989</v>
      </c>
      <c r="F134" s="29">
        <v>45992</v>
      </c>
      <c r="G134" s="74">
        <f t="shared" si="7"/>
        <v>3</v>
      </c>
      <c r="H134" s="74">
        <v>1</v>
      </c>
      <c r="I134" s="74">
        <v>500</v>
      </c>
      <c r="J134" s="74">
        <f>G135*H134*I134</f>
        <v>1500</v>
      </c>
      <c r="K134" s="85" t="s">
        <v>243</v>
      </c>
    </row>
    <row r="135" customHeight="1" spans="1:12">
      <c r="A135" s="78" t="s">
        <v>427</v>
      </c>
      <c r="B135" s="78"/>
      <c r="C135" s="2" t="s">
        <v>53</v>
      </c>
      <c r="D135" s="78" t="s">
        <v>242</v>
      </c>
      <c r="E135" s="29">
        <v>45989</v>
      </c>
      <c r="F135" s="29">
        <v>45992</v>
      </c>
      <c r="G135" s="74">
        <f t="shared" si="7"/>
        <v>3</v>
      </c>
      <c r="H135" s="74">
        <v>1</v>
      </c>
      <c r="I135" s="74">
        <v>470</v>
      </c>
      <c r="J135" s="74">
        <f>G135*I135</f>
        <v>1410</v>
      </c>
      <c r="K135" s="85" t="s">
        <v>243</v>
      </c>
    </row>
    <row r="136" customHeight="1" spans="1:12">
      <c r="A136" s="78" t="s">
        <v>428</v>
      </c>
      <c r="B136" s="97"/>
      <c r="C136" s="74" t="s">
        <v>10</v>
      </c>
      <c r="D136" s="116" t="s">
        <v>51</v>
      </c>
      <c r="E136" s="69">
        <v>45989</v>
      </c>
      <c r="F136" s="69">
        <v>45993</v>
      </c>
      <c r="G136" s="74">
        <f t="shared" si="7"/>
        <v>4</v>
      </c>
      <c r="H136" s="74">
        <v>1</v>
      </c>
      <c r="I136" s="74">
        <v>920</v>
      </c>
      <c r="J136" s="74">
        <f>G136*I136*H136</f>
        <v>3680</v>
      </c>
      <c r="K136" s="86" t="s">
        <v>245</v>
      </c>
      <c r="L136" s="3" t="s">
        <v>429</v>
      </c>
    </row>
    <row r="137" customHeight="1" spans="1:12">
      <c r="A137" s="78" t="s">
        <v>430</v>
      </c>
      <c r="B137" s="78" t="s">
        <v>431</v>
      </c>
      <c r="C137" s="23" t="s">
        <v>10</v>
      </c>
      <c r="D137" s="78" t="s">
        <v>78</v>
      </c>
      <c r="G137" s="97"/>
      <c r="H137" s="97">
        <v>1</v>
      </c>
      <c r="I137" s="97">
        <v>470</v>
      </c>
      <c r="J137" s="97"/>
      <c r="K137" s="85" t="s">
        <v>245</v>
      </c>
      <c r="L137" s="3" t="s">
        <v>432</v>
      </c>
    </row>
    <row r="138" customHeight="1" spans="1:12">
      <c r="A138" s="78" t="s">
        <v>433</v>
      </c>
      <c r="B138" s="97" t="s">
        <v>434</v>
      </c>
      <c r="C138" s="74" t="s">
        <v>48</v>
      </c>
      <c r="D138" s="78" t="s">
        <v>78</v>
      </c>
      <c r="E138" s="29">
        <v>45989</v>
      </c>
      <c r="F138" s="29">
        <v>45993</v>
      </c>
      <c r="G138" s="97">
        <f>F138-E138</f>
        <v>4</v>
      </c>
      <c r="H138" s="97">
        <v>1</v>
      </c>
      <c r="I138" s="97">
        <v>758</v>
      </c>
      <c r="J138" s="97">
        <f>I138*G138*H138</f>
        <v>3032</v>
      </c>
      <c r="K138" s="80" t="s">
        <v>243</v>
      </c>
    </row>
    <row r="139" customHeight="1" spans="1:12">
      <c r="A139" s="78" t="s">
        <v>435</v>
      </c>
      <c r="B139" s="97"/>
      <c r="C139" s="74"/>
      <c r="D139" s="78" t="s">
        <v>78</v>
      </c>
      <c r="E139" s="29">
        <v>45989</v>
      </c>
      <c r="F139" s="29">
        <v>45993</v>
      </c>
      <c r="G139" s="97">
        <f>F139-E139</f>
        <v>4</v>
      </c>
      <c r="H139" s="97">
        <v>1</v>
      </c>
      <c r="I139" s="97">
        <v>758</v>
      </c>
      <c r="J139" s="97">
        <f>I139*G139*H139</f>
        <v>3032</v>
      </c>
      <c r="K139" s="119"/>
    </row>
    <row r="140" customHeight="1" spans="1:12">
      <c r="A140" s="78" t="s">
        <v>436</v>
      </c>
      <c r="B140" s="97"/>
      <c r="C140" s="74"/>
      <c r="D140" s="78" t="s">
        <v>384</v>
      </c>
      <c r="E140" s="29">
        <v>45989</v>
      </c>
      <c r="F140" s="29">
        <v>45993</v>
      </c>
      <c r="G140" s="97">
        <f>F140-E140</f>
        <v>4</v>
      </c>
      <c r="H140" s="97">
        <v>1</v>
      </c>
      <c r="I140" s="97">
        <v>510</v>
      </c>
      <c r="J140" s="97">
        <f>I140*G140*H140</f>
        <v>2040</v>
      </c>
      <c r="K140" s="119"/>
    </row>
    <row r="141" customHeight="1" spans="1:12">
      <c r="A141" s="78" t="s">
        <v>437</v>
      </c>
      <c r="B141" s="97" t="s">
        <v>215</v>
      </c>
      <c r="C141" s="118" t="s">
        <v>48</v>
      </c>
      <c r="D141" s="78" t="s">
        <v>358</v>
      </c>
      <c r="E141" s="29">
        <v>45989</v>
      </c>
      <c r="F141" s="29">
        <v>45991</v>
      </c>
      <c r="G141" s="97">
        <f>F141-E141</f>
        <v>2</v>
      </c>
      <c r="H141" s="97">
        <v>1</v>
      </c>
      <c r="I141" s="97">
        <v>500</v>
      </c>
      <c r="J141" s="97">
        <f>G141*H141*I141</f>
        <v>1000</v>
      </c>
      <c r="K141" s="80" t="s">
        <v>243</v>
      </c>
      <c r="L141" s="3" t="s">
        <v>438</v>
      </c>
    </row>
    <row r="142" customHeight="1" spans="1:12">
      <c r="A142" s="78" t="s">
        <v>439</v>
      </c>
      <c r="B142" s="78" t="s">
        <v>440</v>
      </c>
      <c r="C142" s="118" t="s">
        <v>48</v>
      </c>
      <c r="D142" s="78" t="s">
        <v>358</v>
      </c>
      <c r="E142" s="29">
        <v>45989</v>
      </c>
      <c r="F142" s="69"/>
      <c r="G142" s="97"/>
      <c r="H142" s="97">
        <v>2</v>
      </c>
      <c r="I142" s="97">
        <v>500</v>
      </c>
      <c r="J142" s="97">
        <f>I142*H142*G142</f>
        <v>0</v>
      </c>
      <c r="K142" s="80" t="s">
        <v>441</v>
      </c>
    </row>
    <row r="143" customHeight="1" spans="1:12">
      <c r="A143" s="78"/>
      <c r="B143" s="78"/>
      <c r="C143" s="118"/>
      <c r="D143" s="78" t="s">
        <v>371</v>
      </c>
      <c r="E143" s="29">
        <v>45989</v>
      </c>
      <c r="F143" s="69"/>
      <c r="G143" s="97"/>
      <c r="H143" s="97">
        <v>3</v>
      </c>
      <c r="I143" s="97">
        <v>550</v>
      </c>
      <c r="J143" s="97"/>
      <c r="K143" s="80"/>
    </row>
    <row r="144" customHeight="1" spans="1:12">
      <c r="A144" s="78"/>
      <c r="B144" s="78"/>
      <c r="C144" s="118"/>
      <c r="D144" s="78" t="s">
        <v>442</v>
      </c>
      <c r="E144" s="29">
        <v>45989</v>
      </c>
      <c r="F144" s="69"/>
      <c r="G144" s="97"/>
      <c r="H144" s="97">
        <v>2</v>
      </c>
      <c r="I144" s="97">
        <v>560</v>
      </c>
      <c r="J144" s="97"/>
      <c r="K144" s="80"/>
    </row>
    <row r="145" customHeight="1" spans="1:12">
      <c r="A145" s="78"/>
      <c r="B145" s="78"/>
      <c r="C145" s="118"/>
      <c r="D145" s="78" t="s">
        <v>384</v>
      </c>
      <c r="E145" s="29">
        <v>45989</v>
      </c>
      <c r="F145" s="29"/>
      <c r="G145" s="97"/>
      <c r="H145" s="97">
        <v>3</v>
      </c>
      <c r="I145" s="97">
        <v>510</v>
      </c>
      <c r="J145" s="97"/>
      <c r="K145" s="80"/>
      <c r="L145" s="3"/>
    </row>
    <row r="146" customHeight="1" spans="1:12">
      <c r="A146" s="78" t="s">
        <v>443</v>
      </c>
      <c r="B146" s="78"/>
      <c r="C146" s="74" t="s">
        <v>10</v>
      </c>
      <c r="D146" s="78" t="s">
        <v>76</v>
      </c>
      <c r="E146" s="29">
        <v>45989</v>
      </c>
      <c r="F146" s="29">
        <v>45993</v>
      </c>
      <c r="G146" s="97">
        <v>4</v>
      </c>
      <c r="H146" s="97">
        <v>1</v>
      </c>
      <c r="I146" s="97">
        <v>470</v>
      </c>
      <c r="J146" s="97"/>
      <c r="K146" s="80"/>
      <c r="L146" s="3"/>
    </row>
    <row r="147" customHeight="1" spans="1:12">
      <c r="A147" s="78"/>
      <c r="B147" s="78"/>
      <c r="C147" s="74"/>
      <c r="D147" s="78" t="s">
        <v>444</v>
      </c>
      <c r="E147" s="29">
        <v>45989</v>
      </c>
      <c r="F147" s="29">
        <v>45993</v>
      </c>
      <c r="G147" s="97">
        <v>4</v>
      </c>
      <c r="H147" s="97">
        <v>2</v>
      </c>
      <c r="I147" s="97">
        <v>470</v>
      </c>
      <c r="J147" s="97"/>
      <c r="K147" s="80"/>
      <c r="L147" s="3"/>
    </row>
    <row r="148" customHeight="1" spans="1:12">
      <c r="A148" s="78" t="s">
        <v>443</v>
      </c>
      <c r="B148" s="78"/>
      <c r="C148" s="78" t="s">
        <v>53</v>
      </c>
      <c r="D148" s="99" t="s">
        <v>445</v>
      </c>
      <c r="E148" s="29">
        <v>45989</v>
      </c>
      <c r="F148" s="29">
        <v>45993</v>
      </c>
      <c r="G148" s="97">
        <v>4</v>
      </c>
      <c r="H148" s="97">
        <v>1</v>
      </c>
      <c r="I148" s="97">
        <v>438</v>
      </c>
      <c r="J148" s="97"/>
      <c r="K148" s="80"/>
      <c r="L148" s="3"/>
    </row>
    <row r="149" customHeight="1" spans="1:12">
      <c r="A149" s="78"/>
      <c r="B149" s="78"/>
      <c r="C149" s="78" t="s">
        <v>53</v>
      </c>
      <c r="D149" s="99" t="s">
        <v>229</v>
      </c>
      <c r="E149" s="29">
        <v>45989</v>
      </c>
      <c r="F149" s="29">
        <v>45993</v>
      </c>
      <c r="G149" s="97">
        <v>4</v>
      </c>
      <c r="H149" s="97">
        <v>2</v>
      </c>
      <c r="I149" s="97">
        <v>438</v>
      </c>
      <c r="J149" s="97"/>
      <c r="K149" s="80"/>
      <c r="L149" s="3"/>
    </row>
    <row r="150" customHeight="1" spans="1:12">
      <c r="A150" s="78" t="s">
        <v>446</v>
      </c>
      <c r="B150" s="78"/>
      <c r="C150" s="78" t="s">
        <v>13</v>
      </c>
      <c r="D150" s="78" t="s">
        <v>445</v>
      </c>
      <c r="E150" s="29">
        <v>45989</v>
      </c>
      <c r="F150" s="29">
        <v>45993</v>
      </c>
      <c r="G150" s="97">
        <v>4</v>
      </c>
      <c r="H150" s="97">
        <v>2</v>
      </c>
      <c r="I150" s="97">
        <v>450</v>
      </c>
      <c r="J150" s="97"/>
      <c r="K150" s="80"/>
      <c r="L150" s="3"/>
    </row>
    <row r="151" customHeight="1" spans="1:12">
      <c r="A151" s="78" t="s">
        <v>447</v>
      </c>
      <c r="B151" s="78"/>
      <c r="C151" s="78" t="s">
        <v>448</v>
      </c>
      <c r="D151" s="78" t="s">
        <v>449</v>
      </c>
      <c r="E151" s="29">
        <v>45989</v>
      </c>
      <c r="F151" s="29">
        <v>45993</v>
      </c>
      <c r="G151" s="97">
        <v>4</v>
      </c>
      <c r="H151" s="97">
        <v>2</v>
      </c>
      <c r="I151" s="97">
        <v>248</v>
      </c>
      <c r="J151" s="97"/>
      <c r="K151" s="80"/>
      <c r="L151" s="3"/>
    </row>
    <row r="152" customHeight="1" spans="1:12">
      <c r="A152" s="78"/>
      <c r="B152" s="78"/>
      <c r="C152" s="118"/>
      <c r="D152" s="78"/>
      <c r="E152" s="29"/>
      <c r="F152" s="29"/>
      <c r="G152" s="97"/>
      <c r="H152" s="97"/>
      <c r="I152" s="97"/>
      <c r="J152" s="97"/>
      <c r="K152" s="80"/>
      <c r="L152" s="3"/>
    </row>
    <row r="153" customHeight="1" spans="1:12">
      <c r="A153" s="78"/>
      <c r="B153" s="78"/>
      <c r="C153" s="74"/>
      <c r="D153" s="78"/>
      <c r="E153" s="29"/>
      <c r="F153" s="29"/>
      <c r="G153" s="97"/>
      <c r="H153" s="97"/>
      <c r="I153" s="97"/>
      <c r="J153" s="97"/>
      <c r="K153" s="119"/>
      <c r="L153" s="3"/>
    </row>
    <row r="154" customHeight="1" spans="1:12">
      <c r="A154" s="78" t="s">
        <v>450</v>
      </c>
      <c r="B154" s="78" t="s">
        <v>451</v>
      </c>
      <c r="C154" s="74" t="s">
        <v>10</v>
      </c>
      <c r="D154" s="78" t="s">
        <v>248</v>
      </c>
      <c r="E154" s="29">
        <v>45989</v>
      </c>
      <c r="F154" s="29">
        <v>45993</v>
      </c>
      <c r="G154" s="97">
        <f>F154-E154</f>
        <v>4</v>
      </c>
      <c r="H154" s="97">
        <v>1</v>
      </c>
      <c r="I154" s="97">
        <v>470</v>
      </c>
      <c r="J154" s="97">
        <f>I154*G154*H154</f>
        <v>1880</v>
      </c>
      <c r="K154" s="119" t="s">
        <v>452</v>
      </c>
      <c r="L154" s="3" t="s">
        <v>453</v>
      </c>
    </row>
    <row r="155" customHeight="1" spans="1:12">
      <c r="A155" s="78" t="s">
        <v>454</v>
      </c>
      <c r="B155" s="97"/>
      <c r="C155" s="74" t="s">
        <v>10</v>
      </c>
      <c r="D155" s="78" t="s">
        <v>229</v>
      </c>
      <c r="E155" s="29">
        <v>45989</v>
      </c>
      <c r="F155" s="29">
        <v>45993</v>
      </c>
      <c r="G155" s="97">
        <v>4</v>
      </c>
      <c r="H155" s="97">
        <v>1</v>
      </c>
      <c r="I155" s="97">
        <v>470</v>
      </c>
      <c r="J155" s="97">
        <f>I155*G155*H155</f>
        <v>1880</v>
      </c>
      <c r="K155" s="80" t="s">
        <v>243</v>
      </c>
      <c r="L155" s="3" t="s">
        <v>438</v>
      </c>
    </row>
    <row r="156" customHeight="1" spans="1:12">
      <c r="A156" s="78" t="s">
        <v>455</v>
      </c>
      <c r="B156" s="78" t="s">
        <v>456</v>
      </c>
      <c r="C156" s="97" t="s">
        <v>53</v>
      </c>
      <c r="D156" s="78" t="s">
        <v>242</v>
      </c>
      <c r="E156" s="29">
        <v>45991</v>
      </c>
      <c r="F156" s="29">
        <v>45992</v>
      </c>
      <c r="G156" s="97">
        <f>F156-E156</f>
        <v>1</v>
      </c>
      <c r="H156" s="97">
        <v>1</v>
      </c>
      <c r="I156" s="97">
        <v>470</v>
      </c>
      <c r="J156" s="97">
        <v>470</v>
      </c>
      <c r="K156" s="80" t="s">
        <v>243</v>
      </c>
      <c r="L156" s="3" t="s">
        <v>438</v>
      </c>
    </row>
    <row r="157" customHeight="1" spans="1:12">
      <c r="A157" s="78"/>
      <c r="B157" s="97"/>
      <c r="C157" s="74"/>
      <c r="D157" s="78"/>
      <c r="E157" s="69"/>
      <c r="F157" s="69"/>
      <c r="G157" s="97"/>
      <c r="H157" s="97"/>
      <c r="I157" s="97"/>
      <c r="J157" s="97"/>
      <c r="K157" s="119"/>
    </row>
    <row r="158" customHeight="1" spans="1:12">
      <c r="A158" s="78" t="s">
        <v>457</v>
      </c>
      <c r="B158" s="97"/>
      <c r="C158" s="74" t="s">
        <v>10</v>
      </c>
      <c r="D158" s="78" t="s">
        <v>76</v>
      </c>
      <c r="E158" s="69">
        <v>45989</v>
      </c>
      <c r="F158" s="69">
        <v>45993</v>
      </c>
      <c r="G158" s="97">
        <v>4</v>
      </c>
      <c r="H158" s="97">
        <v>1</v>
      </c>
      <c r="I158" s="97"/>
      <c r="J158" s="97"/>
      <c r="K158" s="119"/>
    </row>
    <row r="159" customHeight="1" spans="1:12">
      <c r="A159" s="78" t="s">
        <v>458</v>
      </c>
      <c r="B159" s="80" t="s">
        <v>451</v>
      </c>
      <c r="C159" s="80" t="s">
        <v>10</v>
      </c>
      <c r="D159" s="78" t="s">
        <v>248</v>
      </c>
      <c r="E159" s="69">
        <v>45989</v>
      </c>
      <c r="F159" s="69">
        <v>45991</v>
      </c>
      <c r="G159" s="97">
        <v>2</v>
      </c>
      <c r="H159" s="97">
        <v>1</v>
      </c>
      <c r="I159" s="97">
        <v>470</v>
      </c>
      <c r="J159" s="97">
        <f t="shared" ref="J159:J167" si="8">G159*H159*I159</f>
        <v>940</v>
      </c>
      <c r="K159" s="80" t="s">
        <v>243</v>
      </c>
      <c r="L159" s="3" t="s">
        <v>213</v>
      </c>
    </row>
    <row r="160" customHeight="1" spans="1:12">
      <c r="A160" s="78" t="s">
        <v>459</v>
      </c>
      <c r="B160" s="97"/>
      <c r="C160" s="80" t="s">
        <v>10</v>
      </c>
      <c r="D160" s="78" t="s">
        <v>248</v>
      </c>
      <c r="E160" s="69">
        <v>45989</v>
      </c>
      <c r="F160" s="69">
        <v>45991</v>
      </c>
      <c r="G160" s="97">
        <v>2</v>
      </c>
      <c r="H160" s="97">
        <v>1</v>
      </c>
      <c r="I160" s="97">
        <v>470</v>
      </c>
      <c r="J160" s="97">
        <f t="shared" si="8"/>
        <v>940</v>
      </c>
      <c r="K160" s="119"/>
      <c r="L160" s="3" t="s">
        <v>213</v>
      </c>
    </row>
    <row r="161" customHeight="1" spans="1:12">
      <c r="A161" s="78" t="s">
        <v>460</v>
      </c>
      <c r="B161" s="97"/>
      <c r="C161" s="80" t="s">
        <v>10</v>
      </c>
      <c r="D161" s="78" t="s">
        <v>248</v>
      </c>
      <c r="E161" s="69">
        <v>45989</v>
      </c>
      <c r="F161" s="69">
        <v>45991</v>
      </c>
      <c r="G161" s="97">
        <v>2</v>
      </c>
      <c r="H161" s="97">
        <v>1</v>
      </c>
      <c r="I161" s="97">
        <v>470</v>
      </c>
      <c r="J161" s="97">
        <f t="shared" si="8"/>
        <v>940</v>
      </c>
      <c r="K161" s="119"/>
      <c r="L161" s="3" t="s">
        <v>213</v>
      </c>
    </row>
    <row r="162" customHeight="1" spans="1:12">
      <c r="A162" s="78" t="s">
        <v>461</v>
      </c>
      <c r="B162" s="78" t="s">
        <v>462</v>
      </c>
      <c r="C162" s="118" t="s">
        <v>48</v>
      </c>
      <c r="D162" s="78" t="s">
        <v>358</v>
      </c>
      <c r="E162" s="81">
        <v>45989</v>
      </c>
      <c r="F162" s="81">
        <v>45993</v>
      </c>
      <c r="G162" s="118">
        <v>4</v>
      </c>
      <c r="H162" s="118">
        <v>1</v>
      </c>
      <c r="I162" s="118">
        <v>500</v>
      </c>
      <c r="J162" s="118">
        <f t="shared" si="8"/>
        <v>2000</v>
      </c>
      <c r="K162" s="80" t="s">
        <v>243</v>
      </c>
    </row>
    <row r="163" customHeight="1" spans="1:12">
      <c r="A163" s="78" t="s">
        <v>463</v>
      </c>
      <c r="B163" s="78"/>
      <c r="C163" s="97" t="s">
        <v>53</v>
      </c>
      <c r="D163" s="97" t="s">
        <v>464</v>
      </c>
      <c r="E163" s="81">
        <v>45989</v>
      </c>
      <c r="F163" s="81">
        <v>45991</v>
      </c>
      <c r="G163" s="97">
        <v>2</v>
      </c>
      <c r="H163" s="97">
        <v>1</v>
      </c>
      <c r="I163" s="97">
        <v>470</v>
      </c>
      <c r="J163" s="97">
        <f t="shared" si="8"/>
        <v>940</v>
      </c>
      <c r="K163" s="80"/>
    </row>
    <row r="164" customHeight="1" spans="1:12">
      <c r="A164" s="97" t="s">
        <v>465</v>
      </c>
      <c r="B164" s="78"/>
      <c r="C164" s="97" t="s">
        <v>53</v>
      </c>
      <c r="D164" s="97" t="s">
        <v>333</v>
      </c>
      <c r="E164" s="81">
        <v>45989</v>
      </c>
      <c r="F164" s="81">
        <v>45991</v>
      </c>
      <c r="G164" s="97">
        <v>2</v>
      </c>
      <c r="H164" s="97">
        <v>1</v>
      </c>
      <c r="I164" s="97">
        <v>470</v>
      </c>
      <c r="J164" s="97">
        <f t="shared" si="8"/>
        <v>940</v>
      </c>
      <c r="K164" s="80"/>
    </row>
    <row r="165" customHeight="1" spans="1:12">
      <c r="A165" s="78" t="s">
        <v>466</v>
      </c>
      <c r="B165" s="78"/>
      <c r="C165" s="23" t="s">
        <v>53</v>
      </c>
      <c r="D165" s="23" t="s">
        <v>229</v>
      </c>
      <c r="E165" s="24">
        <v>45989</v>
      </c>
      <c r="F165" s="24">
        <v>45990</v>
      </c>
      <c r="G165" s="97">
        <v>1</v>
      </c>
      <c r="H165" s="97">
        <v>1</v>
      </c>
      <c r="I165" s="97">
        <v>438</v>
      </c>
      <c r="J165" s="97">
        <f t="shared" si="8"/>
        <v>438</v>
      </c>
      <c r="K165" s="80"/>
    </row>
    <row r="166" customHeight="1" spans="1:12">
      <c r="A166" s="78" t="s">
        <v>467</v>
      </c>
      <c r="B166" s="78" t="s">
        <v>468</v>
      </c>
      <c r="C166" s="74" t="s">
        <v>53</v>
      </c>
      <c r="D166" s="80" t="s">
        <v>333</v>
      </c>
      <c r="E166" s="81">
        <v>45989</v>
      </c>
      <c r="F166" s="69">
        <v>45992</v>
      </c>
      <c r="G166" s="97">
        <v>3</v>
      </c>
      <c r="H166" s="97">
        <v>1</v>
      </c>
      <c r="I166" s="97">
        <v>470</v>
      </c>
      <c r="J166" s="97">
        <f t="shared" si="8"/>
        <v>1410</v>
      </c>
      <c r="K166" s="119" t="s">
        <v>243</v>
      </c>
    </row>
    <row r="167" customHeight="1" spans="1:12">
      <c r="A167" s="78" t="s">
        <v>469</v>
      </c>
      <c r="B167" s="97"/>
      <c r="C167" s="74" t="s">
        <v>53</v>
      </c>
      <c r="D167" s="80" t="s">
        <v>333</v>
      </c>
      <c r="E167" s="81">
        <v>45989</v>
      </c>
      <c r="F167" s="69">
        <v>45992</v>
      </c>
      <c r="G167" s="97">
        <v>3</v>
      </c>
      <c r="H167" s="97">
        <v>1</v>
      </c>
      <c r="I167" s="97">
        <v>470</v>
      </c>
      <c r="J167" s="97">
        <f t="shared" si="8"/>
        <v>1410</v>
      </c>
      <c r="K167" s="119" t="s">
        <v>243</v>
      </c>
    </row>
    <row r="168" customHeight="1" spans="1:12">
      <c r="A168" s="2" t="s">
        <v>470</v>
      </c>
      <c r="B168" s="2" t="s">
        <v>471</v>
      </c>
      <c r="C168" s="2" t="s">
        <v>472</v>
      </c>
      <c r="D168" s="23" t="s">
        <v>103</v>
      </c>
      <c r="E168" s="24">
        <v>45989</v>
      </c>
      <c r="F168" s="24">
        <v>45993</v>
      </c>
      <c r="G168" s="23">
        <v>4</v>
      </c>
      <c r="H168" s="23">
        <v>1</v>
      </c>
      <c r="I168" s="89">
        <v>320</v>
      </c>
      <c r="J168" s="89">
        <v>10240</v>
      </c>
      <c r="K168" s="85" t="s">
        <v>243</v>
      </c>
    </row>
    <row r="169" customHeight="1" spans="1:12">
      <c r="A169" s="23" t="s">
        <v>473</v>
      </c>
      <c r="B169" s="2"/>
      <c r="C169" s="2" t="s">
        <v>474</v>
      </c>
      <c r="D169" s="23" t="s">
        <v>103</v>
      </c>
      <c r="E169" s="24">
        <v>45989</v>
      </c>
      <c r="F169" s="24">
        <v>45993</v>
      </c>
      <c r="G169" s="23">
        <v>4</v>
      </c>
      <c r="H169" s="74">
        <v>1</v>
      </c>
      <c r="I169" s="25">
        <v>320</v>
      </c>
      <c r="J169" s="89">
        <v>18848</v>
      </c>
      <c r="K169" s="85" t="s">
        <v>243</v>
      </c>
    </row>
    <row r="170" customHeight="1" spans="1:12">
      <c r="A170" s="23" t="s">
        <v>475</v>
      </c>
      <c r="B170" s="2"/>
      <c r="C170" s="23" t="s">
        <v>476</v>
      </c>
      <c r="D170" s="23" t="s">
        <v>477</v>
      </c>
      <c r="E170" s="24">
        <v>45990</v>
      </c>
      <c r="F170" s="24">
        <v>45991</v>
      </c>
      <c r="G170" s="23">
        <f>F170-E170</f>
        <v>1</v>
      </c>
      <c r="H170" s="23">
        <v>1</v>
      </c>
      <c r="I170" s="25">
        <v>320</v>
      </c>
      <c r="J170" s="89">
        <f>I170*H170*G170</f>
        <v>320</v>
      </c>
      <c r="K170" s="85"/>
    </row>
    <row r="171" customHeight="1" spans="1:12">
      <c r="A171" s="23" t="s">
        <v>478</v>
      </c>
      <c r="B171" s="2"/>
      <c r="C171" s="23" t="s">
        <v>476</v>
      </c>
      <c r="D171" s="23" t="s">
        <v>477</v>
      </c>
      <c r="E171" s="24">
        <v>45990</v>
      </c>
      <c r="F171" s="24">
        <v>45991</v>
      </c>
      <c r="G171" s="23">
        <f t="shared" ref="G171:G186" si="9">F171-E171</f>
        <v>1</v>
      </c>
      <c r="H171" s="23">
        <v>1</v>
      </c>
      <c r="I171" s="89">
        <v>248</v>
      </c>
      <c r="J171" s="89">
        <f t="shared" ref="J171:J186" si="10">I171*H171*G171</f>
        <v>248</v>
      </c>
      <c r="K171" s="85"/>
    </row>
    <row r="172" customHeight="1" spans="1:12">
      <c r="A172" s="23" t="s">
        <v>479</v>
      </c>
      <c r="B172" s="2"/>
      <c r="C172" s="23" t="s">
        <v>476</v>
      </c>
      <c r="D172" s="23" t="s">
        <v>477</v>
      </c>
      <c r="E172" s="24">
        <v>45990</v>
      </c>
      <c r="F172" s="24">
        <v>45991</v>
      </c>
      <c r="G172" s="23">
        <f t="shared" si="9"/>
        <v>1</v>
      </c>
      <c r="H172" s="23">
        <v>1</v>
      </c>
      <c r="I172" s="89">
        <v>248</v>
      </c>
      <c r="J172" s="89">
        <f t="shared" si="10"/>
        <v>248</v>
      </c>
      <c r="K172" s="85"/>
    </row>
    <row r="173" customHeight="1" spans="1:12">
      <c r="A173" s="23" t="s">
        <v>480</v>
      </c>
      <c r="B173" s="2"/>
      <c r="C173" s="23" t="s">
        <v>476</v>
      </c>
      <c r="D173" s="23" t="s">
        <v>477</v>
      </c>
      <c r="E173" s="24">
        <v>45990</v>
      </c>
      <c r="F173" s="24">
        <v>45991</v>
      </c>
      <c r="G173" s="23">
        <f t="shared" si="9"/>
        <v>1</v>
      </c>
      <c r="H173" s="23">
        <v>1</v>
      </c>
      <c r="I173" s="89">
        <v>248</v>
      </c>
      <c r="J173" s="89">
        <f t="shared" si="10"/>
        <v>248</v>
      </c>
      <c r="K173" s="85"/>
    </row>
    <row r="174" customHeight="1" spans="1:12">
      <c r="A174" s="23" t="s">
        <v>481</v>
      </c>
      <c r="B174" s="2"/>
      <c r="C174" s="23" t="s">
        <v>476</v>
      </c>
      <c r="D174" s="23" t="s">
        <v>477</v>
      </c>
      <c r="E174" s="24">
        <v>45990</v>
      </c>
      <c r="F174" s="24">
        <v>45991</v>
      </c>
      <c r="G174" s="23">
        <f t="shared" si="9"/>
        <v>1</v>
      </c>
      <c r="H174" s="23">
        <v>1</v>
      </c>
      <c r="I174" s="89">
        <v>248</v>
      </c>
      <c r="J174" s="89">
        <f t="shared" si="10"/>
        <v>248</v>
      </c>
      <c r="K174" s="85"/>
    </row>
    <row r="175" customHeight="1" spans="1:12">
      <c r="A175" s="23" t="s">
        <v>482</v>
      </c>
      <c r="B175" s="2"/>
      <c r="C175" s="23" t="s">
        <v>476</v>
      </c>
      <c r="D175" s="23" t="s">
        <v>477</v>
      </c>
      <c r="E175" s="24">
        <v>45990</v>
      </c>
      <c r="F175" s="24">
        <v>45991</v>
      </c>
      <c r="G175" s="23">
        <f t="shared" si="9"/>
        <v>1</v>
      </c>
      <c r="H175" s="23">
        <v>1</v>
      </c>
      <c r="I175" s="89">
        <v>248</v>
      </c>
      <c r="J175" s="89">
        <f t="shared" si="10"/>
        <v>248</v>
      </c>
      <c r="K175" s="85"/>
    </row>
    <row r="176" customHeight="1" spans="1:12">
      <c r="A176" s="23" t="s">
        <v>483</v>
      </c>
      <c r="B176" s="2"/>
      <c r="C176" s="23" t="s">
        <v>476</v>
      </c>
      <c r="D176" s="23" t="s">
        <v>477</v>
      </c>
      <c r="E176" s="24">
        <v>45990</v>
      </c>
      <c r="F176" s="24">
        <v>45991</v>
      </c>
      <c r="G176" s="23">
        <f t="shared" si="9"/>
        <v>1</v>
      </c>
      <c r="H176" s="23">
        <v>1</v>
      </c>
      <c r="I176" s="89">
        <v>248</v>
      </c>
      <c r="J176" s="89">
        <f t="shared" si="10"/>
        <v>248</v>
      </c>
      <c r="K176" s="85"/>
    </row>
    <row r="177" customHeight="1" spans="1:11">
      <c r="A177" s="23" t="s">
        <v>484</v>
      </c>
      <c r="B177" s="2"/>
      <c r="C177" s="23" t="s">
        <v>476</v>
      </c>
      <c r="D177" s="23" t="s">
        <v>477</v>
      </c>
      <c r="E177" s="24">
        <v>45990</v>
      </c>
      <c r="F177" s="24">
        <v>45991</v>
      </c>
      <c r="G177" s="23">
        <f t="shared" si="9"/>
        <v>1</v>
      </c>
      <c r="H177" s="23">
        <v>1</v>
      </c>
      <c r="I177" s="89">
        <v>248</v>
      </c>
      <c r="J177" s="89">
        <f t="shared" si="10"/>
        <v>248</v>
      </c>
      <c r="K177" s="85"/>
    </row>
    <row r="178" customHeight="1" spans="1:11">
      <c r="A178" s="23" t="s">
        <v>485</v>
      </c>
      <c r="B178" s="2"/>
      <c r="C178" s="23" t="s">
        <v>476</v>
      </c>
      <c r="D178" s="23" t="s">
        <v>477</v>
      </c>
      <c r="E178" s="24">
        <v>45989</v>
      </c>
      <c r="F178" s="24">
        <v>45993</v>
      </c>
      <c r="G178" s="23">
        <f t="shared" si="9"/>
        <v>4</v>
      </c>
      <c r="H178" s="23">
        <v>1</v>
      </c>
      <c r="I178" s="89">
        <v>248</v>
      </c>
      <c r="J178" s="89">
        <f t="shared" si="10"/>
        <v>992</v>
      </c>
      <c r="K178" s="85"/>
    </row>
    <row r="179" customHeight="1" spans="1:11">
      <c r="A179" s="23" t="s">
        <v>486</v>
      </c>
      <c r="B179" s="2"/>
      <c r="C179" s="2" t="s">
        <v>472</v>
      </c>
      <c r="D179" s="23" t="s">
        <v>103</v>
      </c>
      <c r="E179" s="24">
        <v>45989</v>
      </c>
      <c r="F179" s="24">
        <v>45993</v>
      </c>
      <c r="G179" s="23">
        <f t="shared" si="9"/>
        <v>4</v>
      </c>
      <c r="H179" s="23">
        <v>1</v>
      </c>
      <c r="I179" s="25">
        <v>320</v>
      </c>
      <c r="J179" s="89">
        <f t="shared" si="10"/>
        <v>1280</v>
      </c>
      <c r="K179" s="85"/>
    </row>
    <row r="180" customHeight="1" spans="1:11">
      <c r="A180" s="23" t="s">
        <v>487</v>
      </c>
      <c r="B180" s="2"/>
      <c r="C180" s="23" t="s">
        <v>472</v>
      </c>
      <c r="D180" s="23" t="s">
        <v>103</v>
      </c>
      <c r="E180" s="24">
        <v>45989</v>
      </c>
      <c r="F180" s="24">
        <v>45991</v>
      </c>
      <c r="G180" s="23">
        <f t="shared" si="9"/>
        <v>2</v>
      </c>
      <c r="H180" s="23">
        <v>1</v>
      </c>
      <c r="I180" s="25">
        <v>320</v>
      </c>
      <c r="J180" s="89">
        <f t="shared" si="10"/>
        <v>640</v>
      </c>
      <c r="K180" s="85"/>
    </row>
    <row r="181" customHeight="1" spans="1:11">
      <c r="A181" s="23" t="s">
        <v>488</v>
      </c>
      <c r="B181" s="2"/>
      <c r="C181" s="2" t="s">
        <v>472</v>
      </c>
      <c r="D181" s="23" t="s">
        <v>103</v>
      </c>
      <c r="E181" s="24">
        <v>45990</v>
      </c>
      <c r="F181" s="24">
        <v>45993</v>
      </c>
      <c r="G181" s="23">
        <f t="shared" si="9"/>
        <v>3</v>
      </c>
      <c r="H181" s="23">
        <v>1</v>
      </c>
      <c r="I181" s="25">
        <v>320</v>
      </c>
      <c r="J181" s="89">
        <f t="shared" si="10"/>
        <v>960</v>
      </c>
      <c r="K181" s="85"/>
    </row>
    <row r="182" customHeight="1" spans="1:11">
      <c r="A182" s="23" t="s">
        <v>489</v>
      </c>
      <c r="B182" s="2"/>
      <c r="C182" s="23" t="s">
        <v>472</v>
      </c>
      <c r="D182" s="23" t="s">
        <v>103</v>
      </c>
      <c r="E182" s="24">
        <v>45989</v>
      </c>
      <c r="F182" s="24">
        <v>45992</v>
      </c>
      <c r="G182" s="23">
        <f t="shared" si="9"/>
        <v>3</v>
      </c>
      <c r="H182" s="23">
        <v>1</v>
      </c>
      <c r="I182" s="25">
        <v>320</v>
      </c>
      <c r="J182" s="89">
        <f t="shared" si="10"/>
        <v>960</v>
      </c>
      <c r="K182" s="85"/>
    </row>
    <row r="183" customHeight="1" spans="1:11">
      <c r="A183" s="23" t="s">
        <v>490</v>
      </c>
      <c r="B183" s="2"/>
      <c r="C183" s="23" t="s">
        <v>472</v>
      </c>
      <c r="D183" s="23" t="s">
        <v>103</v>
      </c>
      <c r="E183" s="69">
        <v>45989</v>
      </c>
      <c r="F183" s="69">
        <v>45991</v>
      </c>
      <c r="G183" s="23">
        <f t="shared" si="9"/>
        <v>2</v>
      </c>
      <c r="H183" s="23">
        <v>1</v>
      </c>
      <c r="I183" s="25">
        <v>320</v>
      </c>
      <c r="J183" s="89">
        <f t="shared" si="10"/>
        <v>640</v>
      </c>
      <c r="K183" s="85"/>
    </row>
    <row r="184" customHeight="1" spans="1:11">
      <c r="A184" s="23" t="s">
        <v>491</v>
      </c>
      <c r="B184" s="2"/>
      <c r="C184" s="23" t="s">
        <v>472</v>
      </c>
      <c r="D184" s="23" t="s">
        <v>103</v>
      </c>
      <c r="E184" s="82">
        <v>45989</v>
      </c>
      <c r="F184" s="69">
        <v>45991</v>
      </c>
      <c r="G184" s="23">
        <f t="shared" si="9"/>
        <v>2</v>
      </c>
      <c r="H184" s="23">
        <v>1</v>
      </c>
      <c r="I184" s="25">
        <v>320</v>
      </c>
      <c r="J184" s="89">
        <f t="shared" si="10"/>
        <v>640</v>
      </c>
      <c r="K184" s="85"/>
    </row>
    <row r="185" customHeight="1" spans="1:11">
      <c r="A185" s="104" t="s">
        <v>492</v>
      </c>
      <c r="B185" s="2"/>
      <c r="C185" s="23" t="s">
        <v>476</v>
      </c>
      <c r="D185" s="23" t="s">
        <v>477</v>
      </c>
      <c r="E185" s="24">
        <v>45990</v>
      </c>
      <c r="F185" s="24">
        <v>45991</v>
      </c>
      <c r="G185" s="23">
        <f t="shared" si="9"/>
        <v>1</v>
      </c>
      <c r="H185" s="23">
        <v>1</v>
      </c>
      <c r="I185" s="89">
        <v>248</v>
      </c>
      <c r="J185" s="89">
        <f t="shared" si="10"/>
        <v>248</v>
      </c>
      <c r="K185" s="85"/>
    </row>
    <row r="186" customHeight="1" spans="1:11">
      <c r="A186" s="23" t="s">
        <v>493</v>
      </c>
      <c r="B186" s="2"/>
      <c r="C186" s="23" t="s">
        <v>476</v>
      </c>
      <c r="D186" s="23" t="s">
        <v>477</v>
      </c>
      <c r="E186" s="24">
        <v>45990</v>
      </c>
      <c r="F186" s="24">
        <v>45991</v>
      </c>
      <c r="G186" s="23">
        <f t="shared" si="9"/>
        <v>1</v>
      </c>
      <c r="H186" s="23">
        <v>1</v>
      </c>
      <c r="I186" s="89">
        <v>248</v>
      </c>
      <c r="J186" s="89">
        <f t="shared" si="10"/>
        <v>248</v>
      </c>
      <c r="K186" s="85"/>
    </row>
    <row r="187" customHeight="1" spans="1:11">
      <c r="A187" s="23" t="s">
        <v>494</v>
      </c>
      <c r="B187" s="2" t="s">
        <v>495</v>
      </c>
      <c r="C187" s="23" t="s">
        <v>496</v>
      </c>
      <c r="D187" s="23" t="s">
        <v>248</v>
      </c>
      <c r="E187" s="29">
        <v>45990</v>
      </c>
      <c r="F187" s="29">
        <v>45992</v>
      </c>
      <c r="G187" s="23">
        <v>2</v>
      </c>
      <c r="H187" s="23">
        <v>1</v>
      </c>
      <c r="I187" s="89">
        <v>470</v>
      </c>
      <c r="J187" s="89">
        <v>940</v>
      </c>
      <c r="K187" s="85" t="s">
        <v>243</v>
      </c>
    </row>
    <row r="188" customHeight="1" spans="1:11">
      <c r="A188" s="23" t="s">
        <v>497</v>
      </c>
      <c r="B188" s="2" t="s">
        <v>498</v>
      </c>
      <c r="C188" s="23" t="s">
        <v>499</v>
      </c>
      <c r="D188" s="2" t="s">
        <v>248</v>
      </c>
      <c r="E188" s="24">
        <v>45989</v>
      </c>
      <c r="F188" s="29">
        <v>45992</v>
      </c>
      <c r="G188" s="23">
        <v>3</v>
      </c>
      <c r="H188" s="23">
        <v>8</v>
      </c>
      <c r="I188" s="25">
        <v>260</v>
      </c>
      <c r="J188" s="25">
        <v>6240</v>
      </c>
      <c r="K188" s="85" t="s">
        <v>243</v>
      </c>
    </row>
    <row r="189" customHeight="1" spans="1:11">
      <c r="A189" s="120" t="s">
        <v>500</v>
      </c>
      <c r="B189" s="85" t="s">
        <v>501</v>
      </c>
      <c r="C189" s="2" t="s">
        <v>34</v>
      </c>
      <c r="D189" s="2" t="s">
        <v>153</v>
      </c>
      <c r="E189" s="42">
        <v>45988</v>
      </c>
      <c r="F189" s="42">
        <v>45991</v>
      </c>
      <c r="G189" s="1">
        <f t="shared" ref="G189:G204" si="11">F189-E189</f>
        <v>3</v>
      </c>
      <c r="H189" s="1">
        <v>1</v>
      </c>
      <c r="I189" s="1">
        <v>250</v>
      </c>
      <c r="J189" s="89">
        <f t="shared" ref="J189:J204" si="12">G189*H189*I189</f>
        <v>750</v>
      </c>
      <c r="K189" s="119" t="s">
        <v>243</v>
      </c>
    </row>
    <row r="190" customHeight="1" spans="1:11">
      <c r="A190" s="120" t="s">
        <v>502</v>
      </c>
      <c r="B190" s="2"/>
      <c r="C190" s="2"/>
      <c r="D190" s="2"/>
      <c r="E190" s="42">
        <v>45988</v>
      </c>
      <c r="F190" s="42">
        <v>45993</v>
      </c>
      <c r="G190" s="1">
        <f t="shared" si="11"/>
        <v>5</v>
      </c>
      <c r="H190" s="1">
        <v>1</v>
      </c>
      <c r="I190" s="1">
        <v>250</v>
      </c>
      <c r="J190" s="89">
        <f t="shared" si="12"/>
        <v>1250</v>
      </c>
      <c r="K190" s="119"/>
    </row>
    <row r="191" customHeight="1" spans="1:11">
      <c r="A191" s="120" t="s">
        <v>503</v>
      </c>
      <c r="B191" s="2"/>
      <c r="C191" s="2"/>
      <c r="D191" s="2"/>
      <c r="E191" s="42">
        <v>45990</v>
      </c>
      <c r="F191" s="42">
        <v>45993</v>
      </c>
      <c r="G191" s="1">
        <f t="shared" si="11"/>
        <v>3</v>
      </c>
      <c r="H191" s="1">
        <v>1</v>
      </c>
      <c r="I191" s="1">
        <v>250</v>
      </c>
      <c r="J191" s="89">
        <f t="shared" si="12"/>
        <v>750</v>
      </c>
      <c r="K191" s="119"/>
    </row>
    <row r="192" customHeight="1" spans="1:11">
      <c r="A192" s="120" t="s">
        <v>504</v>
      </c>
      <c r="B192" s="2"/>
      <c r="C192" s="2"/>
      <c r="D192" s="2"/>
      <c r="E192" s="42">
        <v>45988</v>
      </c>
      <c r="F192" s="42">
        <v>45991</v>
      </c>
      <c r="G192" s="1">
        <f t="shared" si="11"/>
        <v>3</v>
      </c>
      <c r="H192" s="1">
        <v>1</v>
      </c>
      <c r="I192" s="1">
        <v>250</v>
      </c>
      <c r="J192" s="89">
        <f t="shared" si="12"/>
        <v>750</v>
      </c>
      <c r="K192" s="119"/>
    </row>
    <row r="193" customHeight="1" spans="1:11">
      <c r="A193" s="120" t="s">
        <v>505</v>
      </c>
      <c r="B193" s="2"/>
      <c r="C193" s="2"/>
      <c r="D193" s="2"/>
      <c r="E193" s="42">
        <v>45989</v>
      </c>
      <c r="F193" s="42">
        <v>45993</v>
      </c>
      <c r="G193" s="1">
        <f t="shared" si="11"/>
        <v>4</v>
      </c>
      <c r="H193" s="1">
        <v>1</v>
      </c>
      <c r="I193" s="1">
        <v>250</v>
      </c>
      <c r="J193" s="89">
        <f t="shared" si="12"/>
        <v>1000</v>
      </c>
      <c r="K193" s="119"/>
    </row>
    <row r="194" customHeight="1" spans="1:11">
      <c r="A194" s="120" t="s">
        <v>506</v>
      </c>
      <c r="B194" s="2"/>
      <c r="C194" s="2"/>
      <c r="D194" s="2"/>
      <c r="E194" s="42">
        <v>45990</v>
      </c>
      <c r="F194" s="42">
        <v>45992</v>
      </c>
      <c r="G194" s="1">
        <f t="shared" si="11"/>
        <v>2</v>
      </c>
      <c r="H194" s="1">
        <v>1</v>
      </c>
      <c r="I194" s="1">
        <v>250</v>
      </c>
      <c r="J194" s="89">
        <f t="shared" si="12"/>
        <v>500</v>
      </c>
      <c r="K194" s="119"/>
    </row>
    <row r="195" customHeight="1" spans="1:11">
      <c r="A195" s="120" t="s">
        <v>507</v>
      </c>
      <c r="B195" s="2"/>
      <c r="C195" s="2"/>
      <c r="D195" s="2"/>
      <c r="E195" s="42">
        <v>45989</v>
      </c>
      <c r="F195" s="42">
        <v>45991</v>
      </c>
      <c r="G195" s="1">
        <f t="shared" si="11"/>
        <v>2</v>
      </c>
      <c r="H195" s="1">
        <v>1</v>
      </c>
      <c r="I195" s="1">
        <v>250</v>
      </c>
      <c r="J195" s="89">
        <f t="shared" si="12"/>
        <v>500</v>
      </c>
      <c r="K195" s="119"/>
    </row>
    <row r="196" customHeight="1" spans="1:11">
      <c r="A196" s="120" t="s">
        <v>508</v>
      </c>
      <c r="B196" s="2"/>
      <c r="C196" s="2"/>
      <c r="D196" s="2"/>
      <c r="E196" s="42">
        <v>45989</v>
      </c>
      <c r="F196" s="42">
        <v>45993</v>
      </c>
      <c r="G196" s="1">
        <f t="shared" si="11"/>
        <v>4</v>
      </c>
      <c r="H196" s="1">
        <v>1</v>
      </c>
      <c r="I196" s="1">
        <v>250</v>
      </c>
      <c r="J196" s="89">
        <f t="shared" si="12"/>
        <v>1000</v>
      </c>
      <c r="K196" s="119"/>
    </row>
    <row r="197" customHeight="1" spans="1:11">
      <c r="A197" s="120" t="s">
        <v>509</v>
      </c>
      <c r="B197" s="2"/>
      <c r="C197" s="2"/>
      <c r="D197" s="2"/>
      <c r="E197" s="42">
        <v>45989</v>
      </c>
      <c r="F197" s="42">
        <v>45991</v>
      </c>
      <c r="G197" s="1">
        <f t="shared" si="11"/>
        <v>2</v>
      </c>
      <c r="H197" s="1">
        <v>1</v>
      </c>
      <c r="I197" s="1">
        <v>250</v>
      </c>
      <c r="J197" s="89">
        <f t="shared" si="12"/>
        <v>500</v>
      </c>
      <c r="K197" s="119"/>
    </row>
    <row r="198" customHeight="1" spans="1:11">
      <c r="A198" s="120" t="s">
        <v>510</v>
      </c>
      <c r="B198" s="2"/>
      <c r="C198" s="2"/>
      <c r="D198" s="2"/>
      <c r="E198" s="42">
        <v>45989</v>
      </c>
      <c r="F198" s="42">
        <v>45993</v>
      </c>
      <c r="G198" s="1">
        <f t="shared" si="11"/>
        <v>4</v>
      </c>
      <c r="H198" s="1">
        <v>1</v>
      </c>
      <c r="I198" s="1">
        <v>250</v>
      </c>
      <c r="J198" s="89">
        <f t="shared" si="12"/>
        <v>1000</v>
      </c>
      <c r="K198" s="119"/>
    </row>
    <row r="199" customHeight="1" spans="1:11">
      <c r="A199" s="120" t="s">
        <v>511</v>
      </c>
      <c r="B199" s="2"/>
      <c r="C199" s="2"/>
      <c r="D199" s="2"/>
      <c r="E199" s="42">
        <v>45989</v>
      </c>
      <c r="F199" s="42">
        <v>45993</v>
      </c>
      <c r="G199" s="1">
        <f t="shared" si="11"/>
        <v>4</v>
      </c>
      <c r="H199" s="1">
        <v>1</v>
      </c>
      <c r="I199" s="1">
        <v>250</v>
      </c>
      <c r="J199" s="89">
        <f t="shared" si="12"/>
        <v>1000</v>
      </c>
      <c r="K199" s="119"/>
    </row>
    <row r="200" customHeight="1" spans="1:11">
      <c r="A200" s="120" t="s">
        <v>512</v>
      </c>
      <c r="B200" s="2"/>
      <c r="C200" s="2"/>
      <c r="D200" s="2"/>
      <c r="E200" s="42">
        <v>45989</v>
      </c>
      <c r="F200" s="42">
        <v>45991</v>
      </c>
      <c r="G200" s="1">
        <f t="shared" si="11"/>
        <v>2</v>
      </c>
      <c r="H200" s="1">
        <v>1</v>
      </c>
      <c r="I200" s="1">
        <v>250</v>
      </c>
      <c r="J200" s="89">
        <f t="shared" si="12"/>
        <v>500</v>
      </c>
      <c r="K200" s="119"/>
    </row>
    <row r="201" customHeight="1" spans="1:11">
      <c r="A201" s="120" t="s">
        <v>513</v>
      </c>
      <c r="B201" s="2"/>
      <c r="C201" s="2"/>
      <c r="D201" s="2"/>
      <c r="E201" s="42">
        <v>45989</v>
      </c>
      <c r="F201" s="42">
        <v>45991</v>
      </c>
      <c r="G201" s="1">
        <f t="shared" si="11"/>
        <v>2</v>
      </c>
      <c r="H201" s="1">
        <v>1</v>
      </c>
      <c r="I201" s="1">
        <v>250</v>
      </c>
      <c r="J201" s="89">
        <f t="shared" si="12"/>
        <v>500</v>
      </c>
      <c r="K201" s="119"/>
    </row>
    <row r="202" customHeight="1" spans="1:11">
      <c r="A202" s="120" t="s">
        <v>514</v>
      </c>
      <c r="B202" s="2"/>
      <c r="C202" s="2"/>
      <c r="D202" s="2"/>
      <c r="E202" s="121">
        <v>45989</v>
      </c>
      <c r="F202" s="121">
        <v>45992</v>
      </c>
      <c r="G202" s="1">
        <f t="shared" si="11"/>
        <v>3</v>
      </c>
      <c r="H202" s="1">
        <v>1</v>
      </c>
      <c r="I202" s="1">
        <v>250</v>
      </c>
      <c r="J202" s="89">
        <f t="shared" si="12"/>
        <v>750</v>
      </c>
      <c r="K202" s="119"/>
    </row>
    <row r="203" customHeight="1" spans="1:11">
      <c r="A203" s="120" t="s">
        <v>515</v>
      </c>
      <c r="B203" s="2"/>
      <c r="C203" s="2"/>
      <c r="D203" s="2"/>
      <c r="E203" s="121">
        <v>45990</v>
      </c>
      <c r="F203" s="121">
        <v>45993</v>
      </c>
      <c r="G203" s="1">
        <f t="shared" si="11"/>
        <v>3</v>
      </c>
      <c r="H203" s="1">
        <v>1</v>
      </c>
      <c r="I203" s="1">
        <v>250</v>
      </c>
      <c r="J203" s="89">
        <f t="shared" si="12"/>
        <v>750</v>
      </c>
      <c r="K203" s="119"/>
    </row>
    <row r="204" customHeight="1" spans="1:11">
      <c r="A204" s="120" t="s">
        <v>516</v>
      </c>
      <c r="B204" s="2"/>
      <c r="C204" s="2"/>
      <c r="D204" s="2"/>
      <c r="E204" s="42">
        <v>45990</v>
      </c>
      <c r="F204" s="42">
        <v>45991</v>
      </c>
      <c r="G204" s="1">
        <f t="shared" si="11"/>
        <v>1</v>
      </c>
      <c r="H204" s="1">
        <v>1</v>
      </c>
      <c r="I204" s="1">
        <v>250</v>
      </c>
      <c r="J204" s="89">
        <f t="shared" si="12"/>
        <v>250</v>
      </c>
      <c r="K204" s="119"/>
    </row>
    <row r="205" customHeight="1" spans="1:11">
      <c r="A205" s="120" t="s">
        <v>517</v>
      </c>
      <c r="B205" s="2"/>
      <c r="C205" s="2"/>
      <c r="D205" s="2"/>
      <c r="E205" s="42">
        <v>45990</v>
      </c>
      <c r="F205" s="42">
        <v>45993</v>
      </c>
      <c r="G205" s="1">
        <f t="shared" ref="G205:G217" si="13">F205-E205</f>
        <v>3</v>
      </c>
      <c r="H205" s="1">
        <v>1</v>
      </c>
      <c r="I205" s="1">
        <v>250</v>
      </c>
      <c r="J205" s="89">
        <f t="shared" ref="J205:J222" si="14">G205*H205*I205</f>
        <v>750</v>
      </c>
      <c r="K205" s="119"/>
    </row>
    <row r="206" customHeight="1" spans="1:11">
      <c r="A206" s="120" t="s">
        <v>518</v>
      </c>
      <c r="B206" s="2"/>
      <c r="C206" s="2"/>
      <c r="D206" s="2"/>
      <c r="E206" s="42">
        <v>45989</v>
      </c>
      <c r="F206" s="42">
        <v>45991</v>
      </c>
      <c r="G206" s="1">
        <f t="shared" si="13"/>
        <v>2</v>
      </c>
      <c r="H206" s="1">
        <v>1</v>
      </c>
      <c r="I206" s="1">
        <v>250</v>
      </c>
      <c r="J206" s="89">
        <f t="shared" si="14"/>
        <v>500</v>
      </c>
      <c r="K206" s="119"/>
    </row>
    <row r="207" customHeight="1" spans="1:11">
      <c r="A207" s="120" t="s">
        <v>519</v>
      </c>
      <c r="B207" s="2"/>
      <c r="C207" s="2"/>
      <c r="D207" s="2"/>
      <c r="E207" s="29">
        <v>45989</v>
      </c>
      <c r="F207" s="29">
        <v>45992</v>
      </c>
      <c r="G207" s="1">
        <f t="shared" si="13"/>
        <v>3</v>
      </c>
      <c r="H207" s="1">
        <v>1</v>
      </c>
      <c r="I207" s="1">
        <v>250</v>
      </c>
      <c r="J207" s="89">
        <f t="shared" si="14"/>
        <v>750</v>
      </c>
      <c r="K207" s="119"/>
    </row>
    <row r="208" customHeight="1" spans="1:11">
      <c r="A208" s="120" t="s">
        <v>520</v>
      </c>
      <c r="B208" s="2"/>
      <c r="C208" s="2"/>
      <c r="D208" s="2"/>
      <c r="E208" s="42">
        <v>45989</v>
      </c>
      <c r="F208" s="122">
        <v>45990</v>
      </c>
      <c r="G208" s="1">
        <f t="shared" si="13"/>
        <v>1</v>
      </c>
      <c r="H208" s="1">
        <v>1</v>
      </c>
      <c r="I208" s="1">
        <v>250</v>
      </c>
      <c r="J208" s="89">
        <f t="shared" si="14"/>
        <v>250</v>
      </c>
      <c r="K208" s="119"/>
    </row>
    <row r="209" customHeight="1" spans="1:11">
      <c r="A209" s="120" t="s">
        <v>521</v>
      </c>
      <c r="B209" s="2"/>
      <c r="C209" s="2"/>
      <c r="D209" s="2"/>
      <c r="E209" s="42">
        <v>45989</v>
      </c>
      <c r="F209" s="42">
        <v>45993</v>
      </c>
      <c r="G209" s="1">
        <f t="shared" si="13"/>
        <v>4</v>
      </c>
      <c r="H209" s="1">
        <v>1</v>
      </c>
      <c r="I209" s="1">
        <v>250</v>
      </c>
      <c r="J209" s="89">
        <f t="shared" si="14"/>
        <v>1000</v>
      </c>
      <c r="K209" s="119"/>
    </row>
    <row r="210" customHeight="1" spans="1:11">
      <c r="A210" s="120" t="s">
        <v>522</v>
      </c>
      <c r="B210" s="2"/>
      <c r="C210" s="2"/>
      <c r="D210" s="2"/>
      <c r="E210" s="42">
        <v>45989</v>
      </c>
      <c r="F210" s="42">
        <v>45993</v>
      </c>
      <c r="G210" s="1">
        <f t="shared" si="13"/>
        <v>4</v>
      </c>
      <c r="H210" s="1">
        <v>1</v>
      </c>
      <c r="I210" s="1">
        <v>250</v>
      </c>
      <c r="J210" s="89">
        <f t="shared" si="14"/>
        <v>1000</v>
      </c>
      <c r="K210" s="119"/>
    </row>
    <row r="211" customHeight="1" spans="1:11">
      <c r="A211" s="120" t="s">
        <v>523</v>
      </c>
      <c r="B211" s="2"/>
      <c r="C211" s="2"/>
      <c r="D211" s="2"/>
      <c r="E211" s="42">
        <v>45989</v>
      </c>
      <c r="F211" s="42">
        <v>45993</v>
      </c>
      <c r="G211" s="1">
        <f t="shared" si="13"/>
        <v>4</v>
      </c>
      <c r="H211" s="1">
        <v>1</v>
      </c>
      <c r="I211" s="1">
        <v>250</v>
      </c>
      <c r="J211" s="89">
        <f t="shared" si="14"/>
        <v>1000</v>
      </c>
      <c r="K211" s="119"/>
    </row>
    <row r="212" customHeight="1" spans="1:11">
      <c r="A212" s="120" t="s">
        <v>524</v>
      </c>
      <c r="B212" s="2"/>
      <c r="C212" s="2"/>
      <c r="D212" s="2"/>
      <c r="E212" s="29">
        <v>45989</v>
      </c>
      <c r="F212" s="29">
        <v>45991</v>
      </c>
      <c r="G212" s="1">
        <f t="shared" si="13"/>
        <v>2</v>
      </c>
      <c r="H212" s="1">
        <v>1</v>
      </c>
      <c r="I212" s="1">
        <v>250</v>
      </c>
      <c r="J212" s="89">
        <f t="shared" si="14"/>
        <v>500</v>
      </c>
      <c r="K212" s="119"/>
    </row>
    <row r="213" customHeight="1" spans="1:11">
      <c r="A213" s="123" t="s">
        <v>525</v>
      </c>
      <c r="B213" s="85" t="s">
        <v>526</v>
      </c>
      <c r="C213" s="2" t="s">
        <v>34</v>
      </c>
      <c r="D213" s="2" t="s">
        <v>154</v>
      </c>
      <c r="E213" s="29">
        <v>45989</v>
      </c>
      <c r="F213" s="29">
        <v>45992</v>
      </c>
      <c r="G213" s="1">
        <f t="shared" si="13"/>
        <v>3</v>
      </c>
      <c r="H213" s="1">
        <v>3</v>
      </c>
      <c r="I213" s="1">
        <v>270</v>
      </c>
      <c r="J213" s="89">
        <f t="shared" si="14"/>
        <v>2430</v>
      </c>
      <c r="K213" s="119"/>
    </row>
    <row r="214" customHeight="1" spans="1:11">
      <c r="A214" s="2" t="s">
        <v>527</v>
      </c>
      <c r="B214" s="2"/>
      <c r="C214" s="2"/>
      <c r="D214" s="2"/>
      <c r="E214" s="29">
        <v>45989</v>
      </c>
      <c r="F214" s="29">
        <v>45993</v>
      </c>
      <c r="G214" s="1">
        <f t="shared" si="13"/>
        <v>4</v>
      </c>
      <c r="H214" s="1">
        <v>47</v>
      </c>
      <c r="I214" s="1">
        <v>270</v>
      </c>
      <c r="J214" s="89">
        <f t="shared" si="14"/>
        <v>50760</v>
      </c>
      <c r="K214" s="119"/>
    </row>
    <row r="215" customHeight="1" spans="1:11">
      <c r="A215" s="85" t="s">
        <v>528</v>
      </c>
      <c r="B215" s="2"/>
      <c r="C215" s="124" t="s">
        <v>25</v>
      </c>
      <c r="D215" s="2"/>
      <c r="E215" s="29">
        <v>45989</v>
      </c>
      <c r="F215" s="29">
        <v>45992</v>
      </c>
      <c r="G215" s="1">
        <f t="shared" si="13"/>
        <v>3</v>
      </c>
      <c r="H215" s="1">
        <v>1</v>
      </c>
      <c r="I215" s="1">
        <v>200</v>
      </c>
      <c r="J215" s="89">
        <f t="shared" si="14"/>
        <v>600</v>
      </c>
      <c r="K215" s="119"/>
    </row>
    <row r="216" customHeight="1" spans="1:11">
      <c r="A216" s="2" t="s">
        <v>529</v>
      </c>
      <c r="B216" s="2"/>
      <c r="C216" s="124"/>
      <c r="D216" s="2"/>
      <c r="E216" s="29">
        <v>45989</v>
      </c>
      <c r="F216" s="29">
        <v>45993</v>
      </c>
      <c r="G216" s="1">
        <f t="shared" si="13"/>
        <v>4</v>
      </c>
      <c r="H216" s="1">
        <v>6</v>
      </c>
      <c r="I216" s="1">
        <v>200</v>
      </c>
      <c r="J216" s="89">
        <f t="shared" si="14"/>
        <v>4800</v>
      </c>
      <c r="K216" s="119"/>
    </row>
    <row r="217" customHeight="1" spans="1:11">
      <c r="A217" s="2" t="s">
        <v>530</v>
      </c>
      <c r="B217" s="2"/>
      <c r="C217" s="124"/>
      <c r="D217" s="2"/>
      <c r="E217" s="29">
        <v>45989</v>
      </c>
      <c r="F217" s="29">
        <v>45993</v>
      </c>
      <c r="G217" s="1">
        <v>4</v>
      </c>
      <c r="H217" s="1">
        <v>2</v>
      </c>
      <c r="I217" s="1">
        <v>200</v>
      </c>
      <c r="J217" s="89">
        <f t="shared" si="14"/>
        <v>1600</v>
      </c>
      <c r="K217" s="119"/>
    </row>
    <row r="218" customHeight="1" spans="1:11">
      <c r="A218" s="2" t="s">
        <v>531</v>
      </c>
      <c r="B218" s="2" t="s">
        <v>532</v>
      </c>
      <c r="C218" s="2" t="s">
        <v>376</v>
      </c>
      <c r="D218" s="2" t="s">
        <v>377</v>
      </c>
      <c r="E218" s="29">
        <v>45989</v>
      </c>
      <c r="F218" s="29">
        <v>45993</v>
      </c>
      <c r="G218" s="1">
        <f>F218-E218</f>
        <v>4</v>
      </c>
      <c r="H218" s="1">
        <v>1</v>
      </c>
      <c r="I218" s="1">
        <v>280</v>
      </c>
      <c r="J218" s="89">
        <f t="shared" si="14"/>
        <v>1120</v>
      </c>
      <c r="K218" s="85" t="s">
        <v>533</v>
      </c>
    </row>
    <row r="219" customHeight="1" spans="1:11">
      <c r="A219" s="2"/>
      <c r="B219" s="2"/>
      <c r="C219" s="2"/>
      <c r="D219" s="2"/>
      <c r="E219" s="29">
        <v>45989</v>
      </c>
      <c r="F219" s="29">
        <v>45993</v>
      </c>
      <c r="G219" s="1">
        <f>F219-E219</f>
        <v>4</v>
      </c>
      <c r="H219" s="1">
        <v>1</v>
      </c>
      <c r="I219" s="1">
        <v>280</v>
      </c>
      <c r="J219" s="89">
        <f t="shared" si="14"/>
        <v>1120</v>
      </c>
      <c r="K219" s="120"/>
    </row>
    <row r="220" customHeight="1" spans="1:11">
      <c r="A220" s="2"/>
      <c r="B220" s="2"/>
      <c r="C220" s="2"/>
      <c r="D220" s="2" t="s">
        <v>384</v>
      </c>
      <c r="E220" s="29">
        <v>45989</v>
      </c>
      <c r="F220" s="29">
        <v>45993</v>
      </c>
      <c r="G220" s="1">
        <f>F220-E220</f>
        <v>4</v>
      </c>
      <c r="H220" s="1">
        <v>1</v>
      </c>
      <c r="I220" s="1">
        <v>280</v>
      </c>
      <c r="J220" s="89">
        <f t="shared" si="14"/>
        <v>1120</v>
      </c>
      <c r="K220" s="120"/>
    </row>
    <row r="221" customHeight="1" spans="1:11">
      <c r="A221" s="23" t="s">
        <v>534</v>
      </c>
      <c r="B221" s="78" t="s">
        <v>535</v>
      </c>
      <c r="C221" s="74" t="s">
        <v>10</v>
      </c>
      <c r="D221" s="74" t="s">
        <v>229</v>
      </c>
      <c r="E221" s="81">
        <v>45989</v>
      </c>
      <c r="F221" s="81">
        <v>45991</v>
      </c>
      <c r="G221" s="74">
        <f>F221-E221</f>
        <v>2</v>
      </c>
      <c r="H221" s="74">
        <v>1</v>
      </c>
      <c r="I221" s="76">
        <v>470</v>
      </c>
      <c r="J221" s="76">
        <f t="shared" si="14"/>
        <v>940</v>
      </c>
      <c r="K221" s="80" t="s">
        <v>243</v>
      </c>
    </row>
    <row r="222" customHeight="1" spans="1:11">
      <c r="A222" s="23" t="s">
        <v>536</v>
      </c>
      <c r="B222" s="78" t="s">
        <v>537</v>
      </c>
      <c r="C222" s="74" t="s">
        <v>10</v>
      </c>
      <c r="D222" s="78" t="s">
        <v>76</v>
      </c>
      <c r="E222" s="81">
        <v>45989</v>
      </c>
      <c r="F222" s="81">
        <v>45992</v>
      </c>
      <c r="G222" s="74">
        <v>3</v>
      </c>
      <c r="H222" s="74">
        <v>1</v>
      </c>
      <c r="I222" s="76">
        <v>470</v>
      </c>
      <c r="J222" s="76">
        <v>1410</v>
      </c>
      <c r="K222" s="125" t="s">
        <v>538</v>
      </c>
    </row>
    <row r="223" customHeight="1" spans="1:11">
      <c r="A223" s="23" t="s">
        <v>539</v>
      </c>
      <c r="B223" s="78"/>
      <c r="C223" s="74" t="s">
        <v>10</v>
      </c>
      <c r="D223" s="78" t="s">
        <v>76</v>
      </c>
      <c r="E223" s="69">
        <v>45989</v>
      </c>
      <c r="F223" s="81">
        <v>45992</v>
      </c>
      <c r="G223" s="74">
        <v>3</v>
      </c>
      <c r="H223" s="74">
        <v>1</v>
      </c>
      <c r="I223" s="76">
        <v>470</v>
      </c>
      <c r="J223" s="76">
        <v>1410</v>
      </c>
      <c r="K223" s="78" t="s">
        <v>540</v>
      </c>
    </row>
    <row r="224" customHeight="1" spans="1:11">
      <c r="A224" s="1" t="s">
        <v>541</v>
      </c>
      <c r="B224" s="78" t="s">
        <v>542</v>
      </c>
      <c r="C224" s="74" t="s">
        <v>53</v>
      </c>
      <c r="D224" s="74" t="s">
        <v>229</v>
      </c>
      <c r="E224" s="81">
        <v>45989</v>
      </c>
      <c r="F224" s="81">
        <v>45993</v>
      </c>
      <c r="G224" s="74">
        <v>4</v>
      </c>
      <c r="H224" s="74">
        <v>1</v>
      </c>
      <c r="I224" s="91">
        <v>438</v>
      </c>
      <c r="J224" s="91">
        <v>1752</v>
      </c>
      <c r="K224" s="80" t="s">
        <v>543</v>
      </c>
    </row>
    <row r="225" customHeight="1" spans="1:11">
      <c r="A225" s="2" t="s">
        <v>544</v>
      </c>
      <c r="B225" s="78" t="s">
        <v>545</v>
      </c>
      <c r="C225" s="74" t="s">
        <v>10</v>
      </c>
      <c r="D225" s="78" t="s">
        <v>248</v>
      </c>
      <c r="E225" s="81">
        <v>45989</v>
      </c>
      <c r="F225" s="81">
        <v>45993</v>
      </c>
      <c r="G225" s="74">
        <v>4</v>
      </c>
      <c r="H225" s="74">
        <v>2</v>
      </c>
      <c r="I225" s="91">
        <v>470</v>
      </c>
      <c r="J225" s="91">
        <v>3760</v>
      </c>
      <c r="K225" s="80" t="s">
        <v>243</v>
      </c>
    </row>
    <row r="226" customHeight="1" spans="1:11">
      <c r="A226" s="23" t="s">
        <v>546</v>
      </c>
      <c r="B226" s="78" t="s">
        <v>547</v>
      </c>
      <c r="C226" s="74" t="s">
        <v>53</v>
      </c>
      <c r="D226" s="74" t="s">
        <v>229</v>
      </c>
      <c r="E226" s="69">
        <v>45989</v>
      </c>
      <c r="F226" s="69">
        <v>45993</v>
      </c>
      <c r="G226" s="74">
        <v>4</v>
      </c>
      <c r="H226" s="74">
        <v>1</v>
      </c>
      <c r="I226" s="91">
        <v>438</v>
      </c>
      <c r="J226" s="91">
        <v>1752</v>
      </c>
      <c r="K226" s="80" t="s">
        <v>243</v>
      </c>
    </row>
    <row r="227" customHeight="1" spans="1:11">
      <c r="A227" s="1" t="s">
        <v>548</v>
      </c>
      <c r="B227" s="78" t="s">
        <v>549</v>
      </c>
      <c r="C227" s="74" t="s">
        <v>53</v>
      </c>
      <c r="D227" s="80" t="s">
        <v>464</v>
      </c>
      <c r="E227" s="81">
        <v>45989</v>
      </c>
      <c r="F227" s="81">
        <v>45994</v>
      </c>
      <c r="G227" s="74">
        <v>5</v>
      </c>
      <c r="H227" s="74">
        <v>1</v>
      </c>
      <c r="I227" s="91">
        <v>470</v>
      </c>
      <c r="J227" s="91">
        <v>2350</v>
      </c>
      <c r="K227" s="80" t="s">
        <v>243</v>
      </c>
    </row>
    <row r="228" customHeight="1" spans="1:11">
      <c r="A228" s="1" t="s">
        <v>550</v>
      </c>
      <c r="B228" s="97" t="s">
        <v>340</v>
      </c>
      <c r="C228" s="74" t="s">
        <v>10</v>
      </c>
      <c r="D228" s="78" t="s">
        <v>76</v>
      </c>
      <c r="E228" s="69">
        <v>45989</v>
      </c>
      <c r="F228" s="81">
        <v>45993</v>
      </c>
      <c r="G228" s="74">
        <v>4</v>
      </c>
      <c r="H228" s="74">
        <v>1</v>
      </c>
      <c r="I228" s="76">
        <v>470</v>
      </c>
      <c r="J228" s="76">
        <v>1880</v>
      </c>
      <c r="K228" s="126"/>
    </row>
    <row r="229" customHeight="1" spans="1:11">
      <c r="A229" s="1" t="s">
        <v>551</v>
      </c>
      <c r="B229" s="78" t="s">
        <v>552</v>
      </c>
      <c r="C229" s="74" t="s">
        <v>10</v>
      </c>
      <c r="D229" s="78" t="s">
        <v>76</v>
      </c>
      <c r="E229" s="69">
        <v>45989</v>
      </c>
      <c r="F229" s="81">
        <v>45992</v>
      </c>
      <c r="G229" s="74">
        <v>3</v>
      </c>
      <c r="H229" s="74">
        <v>2</v>
      </c>
      <c r="I229" s="76">
        <v>470</v>
      </c>
      <c r="J229" s="76">
        <v>2820</v>
      </c>
      <c r="K229" s="80" t="s">
        <v>553</v>
      </c>
    </row>
    <row r="230" customHeight="1" spans="1:11">
      <c r="A230" s="1" t="s">
        <v>554</v>
      </c>
      <c r="B230" s="78"/>
      <c r="C230" s="74"/>
      <c r="D230" s="74" t="s">
        <v>78</v>
      </c>
      <c r="E230" s="69">
        <v>45989</v>
      </c>
      <c r="F230" s="81">
        <v>45992</v>
      </c>
      <c r="G230" s="74">
        <v>3</v>
      </c>
      <c r="H230" s="74">
        <v>1</v>
      </c>
      <c r="I230" s="91">
        <v>470</v>
      </c>
      <c r="J230" s="91">
        <v>1410</v>
      </c>
      <c r="K230" s="80" t="s">
        <v>245</v>
      </c>
    </row>
    <row r="231" customHeight="1" spans="1:11">
      <c r="A231" s="1" t="s">
        <v>555</v>
      </c>
      <c r="B231" s="2" t="s">
        <v>556</v>
      </c>
      <c r="C231" s="1" t="s">
        <v>53</v>
      </c>
      <c r="D231" s="88" t="s">
        <v>229</v>
      </c>
      <c r="E231" s="122">
        <v>45988</v>
      </c>
      <c r="F231" s="122">
        <v>45994</v>
      </c>
      <c r="G231" s="1">
        <v>6</v>
      </c>
      <c r="H231" s="1">
        <v>1</v>
      </c>
      <c r="I231" s="1">
        <v>438</v>
      </c>
      <c r="J231" s="127">
        <v>2628</v>
      </c>
      <c r="K231" s="85" t="s">
        <v>243</v>
      </c>
    </row>
    <row r="232" customHeight="1" spans="1:11">
      <c r="A232" s="1" t="s">
        <v>557</v>
      </c>
      <c r="B232" s="2"/>
      <c r="C232" s="1" t="s">
        <v>53</v>
      </c>
      <c r="D232" s="88" t="s">
        <v>229</v>
      </c>
      <c r="E232" s="122">
        <v>45991</v>
      </c>
      <c r="F232" s="122">
        <v>45994</v>
      </c>
      <c r="G232" s="1">
        <v>3</v>
      </c>
      <c r="H232" s="1">
        <v>1</v>
      </c>
      <c r="I232" s="1">
        <v>438</v>
      </c>
      <c r="J232" s="127">
        <v>1314</v>
      </c>
      <c r="K232" s="85" t="s">
        <v>243</v>
      </c>
    </row>
    <row r="233" customHeight="1" spans="1:11">
      <c r="A233" s="1" t="s">
        <v>558</v>
      </c>
      <c r="B233" s="1" t="s">
        <v>547</v>
      </c>
      <c r="C233" s="2" t="s">
        <v>53</v>
      </c>
      <c r="D233" s="23" t="s">
        <v>229</v>
      </c>
      <c r="E233" s="29">
        <v>45989</v>
      </c>
      <c r="F233" s="24">
        <v>45993</v>
      </c>
      <c r="G233" s="23">
        <v>4</v>
      </c>
      <c r="H233" s="23">
        <v>1</v>
      </c>
      <c r="I233" s="89">
        <v>438</v>
      </c>
      <c r="J233" s="89">
        <v>1752</v>
      </c>
      <c r="K233" s="85" t="s">
        <v>243</v>
      </c>
    </row>
    <row r="234" customHeight="1" spans="1:11">
      <c r="A234" s="23" t="s">
        <v>559</v>
      </c>
      <c r="C234" s="2" t="s">
        <v>53</v>
      </c>
      <c r="D234" s="23" t="s">
        <v>229</v>
      </c>
      <c r="E234" s="29">
        <v>45989</v>
      </c>
      <c r="F234" s="24">
        <v>45994</v>
      </c>
      <c r="G234" s="23">
        <f>F234-E234</f>
        <v>5</v>
      </c>
      <c r="H234" s="23">
        <v>1</v>
      </c>
      <c r="I234" s="89">
        <v>438</v>
      </c>
      <c r="J234" s="89">
        <f>G234*H234*I234</f>
        <v>2190</v>
      </c>
      <c r="K234" s="85" t="s">
        <v>243</v>
      </c>
    </row>
    <row r="235" customHeight="1" spans="1:11">
      <c r="A235" s="23" t="s">
        <v>560</v>
      </c>
      <c r="B235" s="2" t="s">
        <v>561</v>
      </c>
      <c r="C235" s="23" t="s">
        <v>10</v>
      </c>
      <c r="D235" s="2" t="s">
        <v>76</v>
      </c>
      <c r="E235" s="24">
        <v>45989</v>
      </c>
      <c r="F235" s="29">
        <v>45992</v>
      </c>
      <c r="G235" s="23">
        <v>3</v>
      </c>
      <c r="H235" s="23">
        <v>1</v>
      </c>
      <c r="I235" s="25">
        <v>470</v>
      </c>
      <c r="J235" s="25">
        <v>1410</v>
      </c>
      <c r="K235" s="85" t="s">
        <v>243</v>
      </c>
    </row>
    <row r="236" customHeight="1" spans="1:11">
      <c r="A236" s="23"/>
      <c r="B236" s="2"/>
      <c r="C236" s="23" t="s">
        <v>10</v>
      </c>
      <c r="D236" s="2" t="s">
        <v>76</v>
      </c>
      <c r="E236" s="24">
        <v>45989</v>
      </c>
      <c r="F236" s="24">
        <v>45993</v>
      </c>
      <c r="G236" s="23">
        <v>4</v>
      </c>
      <c r="H236" s="23">
        <v>1</v>
      </c>
      <c r="I236" s="25">
        <v>470</v>
      </c>
      <c r="J236" s="25">
        <v>1880</v>
      </c>
      <c r="K236" s="85" t="s">
        <v>243</v>
      </c>
    </row>
    <row r="237" customHeight="1" spans="1:11">
      <c r="A237" s="90" t="s">
        <v>562</v>
      </c>
    </row>
    <row r="238" customHeight="1" spans="1:11">
      <c r="A238" s="1" t="s">
        <v>563</v>
      </c>
      <c r="B238" s="104" t="s">
        <v>564</v>
      </c>
      <c r="C238" s="23" t="s">
        <v>53</v>
      </c>
      <c r="D238" s="80" t="s">
        <v>333</v>
      </c>
      <c r="E238" s="29">
        <v>45989</v>
      </c>
      <c r="F238" s="24">
        <v>45992</v>
      </c>
      <c r="G238" s="23">
        <f>F238-E238</f>
        <v>3</v>
      </c>
      <c r="H238" s="1">
        <v>1</v>
      </c>
      <c r="I238" s="1">
        <v>470</v>
      </c>
      <c r="J238" s="1">
        <f>G238*H238*I238</f>
        <v>1410</v>
      </c>
      <c r="K238" s="85" t="s">
        <v>243</v>
      </c>
    </row>
    <row r="239" customHeight="1" spans="1:11">
      <c r="A239" s="1" t="s">
        <v>565</v>
      </c>
      <c r="B239" s="104" t="s">
        <v>566</v>
      </c>
      <c r="C239" s="18" t="s">
        <v>13</v>
      </c>
      <c r="D239" s="18" t="s">
        <v>229</v>
      </c>
      <c r="E239" s="29">
        <v>45989</v>
      </c>
      <c r="F239" s="24">
        <v>45992</v>
      </c>
      <c r="G239" s="1">
        <f>F239-E239</f>
        <v>3</v>
      </c>
      <c r="H239" s="1">
        <v>3</v>
      </c>
      <c r="I239" s="1"/>
      <c r="J239" s="1"/>
      <c r="K239" s="85" t="s">
        <v>243</v>
      </c>
    </row>
    <row r="240" customHeight="1" spans="1:11">
      <c r="A240" s="1" t="s">
        <v>567</v>
      </c>
      <c r="B240" s="104" t="s">
        <v>566</v>
      </c>
      <c r="C240" s="18" t="s">
        <v>13</v>
      </c>
      <c r="D240" s="104" t="s">
        <v>445</v>
      </c>
      <c r="E240" s="29">
        <v>45989</v>
      </c>
      <c r="F240" s="24">
        <v>45992</v>
      </c>
      <c r="G240" s="1">
        <v>3</v>
      </c>
      <c r="H240" s="1">
        <v>1</v>
      </c>
      <c r="I240" s="1"/>
      <c r="J240" s="1"/>
      <c r="K240" s="85" t="s">
        <v>243</v>
      </c>
    </row>
    <row r="241" customHeight="1" spans="1:11">
      <c r="A241" s="118" t="s">
        <v>568</v>
      </c>
      <c r="B241" s="2" t="s">
        <v>569</v>
      </c>
      <c r="C241" s="23" t="s">
        <v>48</v>
      </c>
      <c r="D241" s="78" t="s">
        <v>384</v>
      </c>
      <c r="E241" s="128">
        <v>45991</v>
      </c>
      <c r="F241" s="24">
        <v>45992</v>
      </c>
      <c r="G241" s="88">
        <f>F241-E241</f>
        <v>1</v>
      </c>
      <c r="H241" s="88">
        <v>1</v>
      </c>
      <c r="I241" s="88">
        <v>510</v>
      </c>
      <c r="J241" s="88">
        <v>510</v>
      </c>
      <c r="K241" s="85" t="s">
        <v>243</v>
      </c>
    </row>
    <row r="242" customHeight="1" spans="1:11">
      <c r="A242" s="118" t="s">
        <v>570</v>
      </c>
      <c r="B242" s="2"/>
      <c r="C242" s="23" t="s">
        <v>48</v>
      </c>
      <c r="D242" s="78" t="s">
        <v>384</v>
      </c>
      <c r="E242" s="128">
        <v>45991</v>
      </c>
      <c r="F242" s="24">
        <v>45992</v>
      </c>
      <c r="G242" s="88">
        <f>F242-E242</f>
        <v>1</v>
      </c>
      <c r="H242" s="88">
        <v>1</v>
      </c>
      <c r="I242" s="88">
        <v>510</v>
      </c>
      <c r="J242" s="88">
        <v>510</v>
      </c>
      <c r="K242" s="85" t="s">
        <v>243</v>
      </c>
    </row>
    <row r="243" customHeight="1" spans="1:11">
      <c r="A243" s="1" t="s">
        <v>571</v>
      </c>
      <c r="B243" s="2"/>
      <c r="C243" s="23" t="s">
        <v>25</v>
      </c>
      <c r="D243" s="18" t="s">
        <v>153</v>
      </c>
      <c r="E243" s="122">
        <v>45991</v>
      </c>
      <c r="F243" s="24">
        <v>45992</v>
      </c>
      <c r="G243" s="1">
        <f t="shared" ref="G243:G249" si="15">F243-E243</f>
        <v>1</v>
      </c>
      <c r="H243" s="1">
        <v>1</v>
      </c>
      <c r="I243" s="1">
        <v>200</v>
      </c>
      <c r="J243" s="1">
        <f t="shared" ref="J243:J247" si="16">G243*H243*I243</f>
        <v>200</v>
      </c>
      <c r="K243" s="85" t="s">
        <v>243</v>
      </c>
    </row>
    <row r="244" customHeight="1" spans="1:11">
      <c r="A244" s="1" t="s">
        <v>572</v>
      </c>
      <c r="B244" s="2"/>
      <c r="C244" s="23" t="s">
        <v>25</v>
      </c>
      <c r="D244" s="18" t="s">
        <v>153</v>
      </c>
      <c r="E244" s="122">
        <v>45991</v>
      </c>
      <c r="F244" s="24">
        <v>45993</v>
      </c>
      <c r="G244" s="1">
        <f t="shared" si="15"/>
        <v>2</v>
      </c>
      <c r="H244" s="1">
        <v>1</v>
      </c>
      <c r="I244" s="1">
        <v>200</v>
      </c>
      <c r="J244" s="1">
        <f t="shared" si="16"/>
        <v>400</v>
      </c>
      <c r="K244" s="85" t="s">
        <v>243</v>
      </c>
    </row>
    <row r="245" customHeight="1" spans="1:11">
      <c r="A245" s="1" t="s">
        <v>573</v>
      </c>
      <c r="B245" s="2"/>
      <c r="C245" s="23" t="s">
        <v>25</v>
      </c>
      <c r="D245" s="18" t="s">
        <v>153</v>
      </c>
      <c r="E245" s="122">
        <v>45991</v>
      </c>
      <c r="F245" s="24">
        <v>45992</v>
      </c>
      <c r="G245" s="1">
        <f t="shared" si="15"/>
        <v>1</v>
      </c>
      <c r="H245" s="1">
        <v>1</v>
      </c>
      <c r="I245" s="1">
        <v>200</v>
      </c>
      <c r="J245" s="1">
        <f t="shared" si="16"/>
        <v>200</v>
      </c>
      <c r="K245" s="85" t="s">
        <v>243</v>
      </c>
    </row>
    <row r="246" customHeight="1" spans="1:11">
      <c r="A246" s="88" t="s">
        <v>574</v>
      </c>
      <c r="B246" s="2"/>
      <c r="C246" s="23" t="s">
        <v>48</v>
      </c>
      <c r="D246" s="34" t="s">
        <v>384</v>
      </c>
      <c r="E246" s="128">
        <v>45991</v>
      </c>
      <c r="F246" s="24">
        <v>45992</v>
      </c>
      <c r="G246" s="88">
        <f t="shared" si="15"/>
        <v>1</v>
      </c>
      <c r="H246" s="88">
        <v>1</v>
      </c>
      <c r="I246" s="88">
        <v>510</v>
      </c>
      <c r="J246" s="88">
        <v>510</v>
      </c>
      <c r="K246" s="85" t="s">
        <v>243</v>
      </c>
    </row>
    <row r="247" customHeight="1" spans="1:11">
      <c r="A247" s="1" t="s">
        <v>575</v>
      </c>
      <c r="B247" s="2"/>
      <c r="C247" s="23" t="s">
        <v>576</v>
      </c>
      <c r="D247" s="18" t="s">
        <v>153</v>
      </c>
      <c r="E247" s="122">
        <v>45991</v>
      </c>
      <c r="F247" s="24">
        <v>45992</v>
      </c>
      <c r="G247" s="1">
        <f t="shared" si="15"/>
        <v>1</v>
      </c>
      <c r="H247" s="1">
        <v>1</v>
      </c>
      <c r="I247" s="1">
        <v>240</v>
      </c>
      <c r="J247" s="1">
        <f t="shared" si="16"/>
        <v>240</v>
      </c>
      <c r="K247" s="85" t="s">
        <v>243</v>
      </c>
    </row>
    <row r="248" customHeight="1" spans="1:11">
      <c r="A248" s="1" t="s">
        <v>577</v>
      </c>
      <c r="B248" s="2"/>
      <c r="C248" s="23" t="s">
        <v>13</v>
      </c>
      <c r="D248" s="18" t="s">
        <v>229</v>
      </c>
      <c r="E248" s="122">
        <v>45991</v>
      </c>
      <c r="F248" s="24">
        <v>45992</v>
      </c>
      <c r="G248" s="1">
        <f t="shared" si="15"/>
        <v>1</v>
      </c>
      <c r="H248" s="1">
        <v>1</v>
      </c>
      <c r="I248" s="1"/>
      <c r="J248" s="1"/>
      <c r="K248" s="85" t="s">
        <v>243</v>
      </c>
    </row>
    <row r="249" customHeight="1" spans="1:11">
      <c r="A249" s="1" t="s">
        <v>578</v>
      </c>
      <c r="B249" s="2"/>
      <c r="C249" s="23" t="s">
        <v>579</v>
      </c>
      <c r="D249" s="18" t="s">
        <v>154</v>
      </c>
      <c r="E249" s="122">
        <v>45991</v>
      </c>
      <c r="F249" s="24">
        <v>45993</v>
      </c>
      <c r="G249" s="1">
        <f t="shared" si="15"/>
        <v>2</v>
      </c>
      <c r="H249" s="1">
        <v>1</v>
      </c>
      <c r="I249" s="1">
        <v>280</v>
      </c>
      <c r="J249" s="1">
        <f>G249*H249*I249</f>
        <v>560</v>
      </c>
      <c r="K249" s="85" t="s">
        <v>243</v>
      </c>
    </row>
    <row r="250" ht="56.25" customHeight="1" spans="1:11">
      <c r="A250" s="90" t="s">
        <v>580</v>
      </c>
      <c r="C250" s="129"/>
      <c r="E250" s="29"/>
      <c r="F250" s="29"/>
    </row>
    <row r="251" customHeight="1" spans="1:11">
      <c r="A251" s="1" t="s">
        <v>581</v>
      </c>
      <c r="B251" s="2" t="s">
        <v>582</v>
      </c>
      <c r="C251" s="18" t="s">
        <v>499</v>
      </c>
      <c r="D251" s="18" t="s">
        <v>161</v>
      </c>
      <c r="E251" s="130">
        <v>45989</v>
      </c>
      <c r="F251" s="130">
        <v>45991</v>
      </c>
      <c r="G251" s="1">
        <f t="shared" ref="G251:G261" si="17">F251-E251</f>
        <v>2</v>
      </c>
      <c r="H251" s="1">
        <v>1</v>
      </c>
      <c r="I251" s="1">
        <v>200</v>
      </c>
      <c r="J251" s="1">
        <f t="shared" ref="J251:J260" si="18">G251*H251*I251</f>
        <v>400</v>
      </c>
      <c r="K251" s="85" t="s">
        <v>243</v>
      </c>
    </row>
    <row r="252" customHeight="1" spans="1:11">
      <c r="A252" s="1" t="s">
        <v>583</v>
      </c>
      <c r="C252" s="18" t="s">
        <v>499</v>
      </c>
      <c r="D252" s="18" t="s">
        <v>161</v>
      </c>
      <c r="E252" s="130">
        <v>45989</v>
      </c>
      <c r="F252" s="130">
        <v>45991</v>
      </c>
      <c r="G252" s="1">
        <f t="shared" si="17"/>
        <v>2</v>
      </c>
      <c r="H252" s="1">
        <v>1</v>
      </c>
      <c r="I252" s="1">
        <v>200</v>
      </c>
      <c r="J252" s="1">
        <f t="shared" si="18"/>
        <v>400</v>
      </c>
      <c r="K252" s="120"/>
    </row>
    <row r="253" customHeight="1" spans="1:11">
      <c r="A253" s="1" t="s">
        <v>584</v>
      </c>
      <c r="C253" s="18" t="s">
        <v>499</v>
      </c>
      <c r="D253" s="18" t="s">
        <v>161</v>
      </c>
      <c r="E253" s="130">
        <v>45989</v>
      </c>
      <c r="F253" s="130">
        <v>45991</v>
      </c>
      <c r="G253" s="1">
        <f t="shared" si="17"/>
        <v>2</v>
      </c>
      <c r="H253" s="1">
        <v>1</v>
      </c>
      <c r="I253" s="1">
        <v>200</v>
      </c>
      <c r="J253" s="1">
        <f t="shared" si="18"/>
        <v>400</v>
      </c>
      <c r="K253" s="120"/>
    </row>
    <row r="254" customHeight="1" spans="1:11">
      <c r="A254" s="1" t="s">
        <v>585</v>
      </c>
      <c r="C254" s="18" t="s">
        <v>499</v>
      </c>
      <c r="D254" s="18" t="s">
        <v>161</v>
      </c>
      <c r="E254" s="130">
        <v>45989</v>
      </c>
      <c r="F254" s="130">
        <v>45991</v>
      </c>
      <c r="G254" s="1">
        <f t="shared" si="17"/>
        <v>2</v>
      </c>
      <c r="H254" s="1">
        <v>1</v>
      </c>
      <c r="I254" s="1">
        <v>200</v>
      </c>
      <c r="J254" s="1">
        <f t="shared" si="18"/>
        <v>400</v>
      </c>
      <c r="K254" s="120"/>
    </row>
    <row r="255" customHeight="1" spans="1:11">
      <c r="A255" s="2" t="s">
        <v>586</v>
      </c>
      <c r="C255" s="18" t="s">
        <v>499</v>
      </c>
      <c r="D255" s="18" t="s">
        <v>161</v>
      </c>
      <c r="E255" s="130">
        <v>45989</v>
      </c>
      <c r="F255" s="130">
        <v>45990</v>
      </c>
      <c r="G255" s="1">
        <f t="shared" si="17"/>
        <v>1</v>
      </c>
      <c r="H255" s="1">
        <v>1</v>
      </c>
      <c r="I255" s="1">
        <v>200</v>
      </c>
      <c r="J255" s="1">
        <f t="shared" si="18"/>
        <v>200</v>
      </c>
      <c r="K255" s="120"/>
    </row>
    <row r="256" customHeight="1" spans="1:11">
      <c r="A256" s="1" t="s">
        <v>587</v>
      </c>
      <c r="C256" s="18" t="s">
        <v>499</v>
      </c>
      <c r="D256" s="18" t="s">
        <v>161</v>
      </c>
      <c r="E256" s="130">
        <v>45989</v>
      </c>
      <c r="F256" s="130">
        <v>45990</v>
      </c>
      <c r="G256" s="1">
        <f t="shared" si="17"/>
        <v>1</v>
      </c>
      <c r="H256" s="1">
        <v>1</v>
      </c>
      <c r="I256" s="1">
        <v>200</v>
      </c>
      <c r="J256" s="1">
        <f t="shared" si="18"/>
        <v>200</v>
      </c>
      <c r="K256" s="120"/>
    </row>
    <row r="257" customHeight="1" spans="1:11">
      <c r="A257" s="1" t="s">
        <v>588</v>
      </c>
      <c r="C257" s="18" t="s">
        <v>499</v>
      </c>
      <c r="D257" s="18" t="s">
        <v>161</v>
      </c>
      <c r="E257" s="130">
        <v>45989</v>
      </c>
      <c r="F257" s="130">
        <v>45990</v>
      </c>
      <c r="G257" s="1">
        <f t="shared" si="17"/>
        <v>1</v>
      </c>
      <c r="H257" s="1">
        <v>1</v>
      </c>
      <c r="I257" s="1">
        <v>200</v>
      </c>
      <c r="J257" s="1">
        <f t="shared" si="18"/>
        <v>200</v>
      </c>
      <c r="K257" s="120"/>
    </row>
    <row r="258" customHeight="1" spans="1:11">
      <c r="A258" s="1" t="s">
        <v>589</v>
      </c>
      <c r="C258" s="18" t="s">
        <v>499</v>
      </c>
      <c r="D258" s="18" t="s">
        <v>161</v>
      </c>
      <c r="E258" s="130">
        <v>45989</v>
      </c>
      <c r="F258" s="130">
        <v>45991</v>
      </c>
      <c r="G258" s="1">
        <f t="shared" si="17"/>
        <v>2</v>
      </c>
      <c r="H258" s="1">
        <v>1</v>
      </c>
      <c r="I258" s="1">
        <v>200</v>
      </c>
      <c r="J258" s="1">
        <f t="shared" si="18"/>
        <v>400</v>
      </c>
      <c r="K258" s="120"/>
    </row>
    <row r="259" customHeight="1" spans="1:11">
      <c r="A259" s="97" t="s">
        <v>590</v>
      </c>
      <c r="B259" s="78" t="s">
        <v>591</v>
      </c>
      <c r="C259" s="74" t="s">
        <v>53</v>
      </c>
      <c r="D259" s="131" t="s">
        <v>445</v>
      </c>
      <c r="E259" s="105">
        <v>45989</v>
      </c>
      <c r="F259" s="81">
        <v>45992</v>
      </c>
      <c r="G259" s="97">
        <f t="shared" si="17"/>
        <v>3</v>
      </c>
      <c r="H259" s="97">
        <v>4</v>
      </c>
      <c r="I259" s="97">
        <v>438</v>
      </c>
      <c r="J259" s="97">
        <f t="shared" si="18"/>
        <v>5256</v>
      </c>
      <c r="K259" s="80" t="s">
        <v>243</v>
      </c>
    </row>
    <row r="260" customHeight="1" spans="1:11">
      <c r="A260" s="78" t="s">
        <v>592</v>
      </c>
      <c r="B260" s="78"/>
      <c r="C260" s="74" t="s">
        <v>53</v>
      </c>
      <c r="D260" s="131" t="s">
        <v>445</v>
      </c>
      <c r="E260" s="105">
        <v>45990</v>
      </c>
      <c r="F260" s="81">
        <v>45992</v>
      </c>
      <c r="G260" s="97">
        <f t="shared" si="17"/>
        <v>2</v>
      </c>
      <c r="H260" s="97">
        <v>5</v>
      </c>
      <c r="I260" s="97">
        <v>438</v>
      </c>
      <c r="J260" s="97">
        <f t="shared" si="18"/>
        <v>4380</v>
      </c>
      <c r="K260" s="80" t="s">
        <v>243</v>
      </c>
    </row>
    <row r="261" customHeight="1" spans="1:11">
      <c r="A261" s="1" t="s">
        <v>593</v>
      </c>
      <c r="B261" s="78"/>
      <c r="C261" s="74" t="s">
        <v>53</v>
      </c>
      <c r="D261" s="131" t="s">
        <v>229</v>
      </c>
      <c r="E261" s="105">
        <v>45991</v>
      </c>
      <c r="F261" s="81">
        <v>45992</v>
      </c>
      <c r="G261" s="1">
        <f t="shared" si="17"/>
        <v>1</v>
      </c>
      <c r="H261" s="1">
        <v>1</v>
      </c>
      <c r="I261" s="1">
        <v>438</v>
      </c>
      <c r="J261" s="1">
        <f>I261*H261*G261</f>
        <v>438</v>
      </c>
      <c r="K261" s="85" t="s">
        <v>243</v>
      </c>
    </row>
    <row r="262" customHeight="1" spans="1:11">
      <c r="A262" s="1" t="s">
        <v>594</v>
      </c>
      <c r="B262" s="1" t="s">
        <v>582</v>
      </c>
      <c r="C262" s="18" t="s">
        <v>499</v>
      </c>
      <c r="D262" s="18" t="s">
        <v>161</v>
      </c>
      <c r="E262" s="130">
        <v>45989</v>
      </c>
      <c r="F262" s="130">
        <v>45990</v>
      </c>
      <c r="G262" s="1">
        <f t="shared" ref="G262:G273" si="19">F262-E262</f>
        <v>1</v>
      </c>
      <c r="H262" s="1">
        <v>1</v>
      </c>
      <c r="I262" s="1">
        <v>200</v>
      </c>
      <c r="J262" s="1">
        <f t="shared" ref="J262:J273" si="20">G262*H262*I262</f>
        <v>200</v>
      </c>
      <c r="K262" s="85" t="s">
        <v>243</v>
      </c>
    </row>
    <row r="263" customHeight="1" spans="1:11">
      <c r="A263" s="74" t="s">
        <v>595</v>
      </c>
      <c r="B263" s="78" t="s">
        <v>596</v>
      </c>
      <c r="C263" s="132" t="s">
        <v>10</v>
      </c>
      <c r="D263" s="131" t="s">
        <v>76</v>
      </c>
      <c r="E263" s="105">
        <v>45989</v>
      </c>
      <c r="F263" s="81">
        <v>45994</v>
      </c>
      <c r="G263" s="74">
        <f t="shared" si="19"/>
        <v>5</v>
      </c>
      <c r="H263" s="74">
        <v>1</v>
      </c>
      <c r="I263" s="97">
        <v>470</v>
      </c>
      <c r="J263" s="97">
        <f t="shared" si="20"/>
        <v>2350</v>
      </c>
      <c r="K263" s="80" t="s">
        <v>243</v>
      </c>
    </row>
    <row r="264" customHeight="1" spans="1:11">
      <c r="A264" s="74" t="s">
        <v>597</v>
      </c>
      <c r="B264" s="78" t="s">
        <v>598</v>
      </c>
      <c r="C264" s="132" t="s">
        <v>10</v>
      </c>
      <c r="D264" s="131" t="s">
        <v>248</v>
      </c>
      <c r="E264" s="105">
        <v>45989</v>
      </c>
      <c r="F264" s="81">
        <v>45992</v>
      </c>
      <c r="G264" s="74">
        <f t="shared" si="19"/>
        <v>3</v>
      </c>
      <c r="H264" s="74">
        <v>1</v>
      </c>
      <c r="I264" s="97">
        <v>470</v>
      </c>
      <c r="J264" s="97">
        <f t="shared" si="20"/>
        <v>1410</v>
      </c>
      <c r="K264" s="80" t="s">
        <v>243</v>
      </c>
    </row>
    <row r="265" s="57" customFormat="1" customHeight="1" spans="1:11">
      <c r="A265" s="78" t="s">
        <v>599</v>
      </c>
      <c r="B265" s="78" t="s">
        <v>600</v>
      </c>
      <c r="C265" s="74" t="s">
        <v>13</v>
      </c>
      <c r="D265" s="132" t="s">
        <v>445</v>
      </c>
      <c r="E265" s="105">
        <v>45990</v>
      </c>
      <c r="F265" s="81">
        <v>45992</v>
      </c>
      <c r="G265" s="97">
        <f t="shared" si="19"/>
        <v>2</v>
      </c>
      <c r="H265" s="97">
        <v>3</v>
      </c>
      <c r="I265" s="97">
        <v>450</v>
      </c>
      <c r="J265" s="97">
        <f t="shared" si="20"/>
        <v>2700</v>
      </c>
      <c r="K265" s="80" t="s">
        <v>243</v>
      </c>
    </row>
    <row r="266" customHeight="1" spans="1:11">
      <c r="A266" s="1" t="s">
        <v>601</v>
      </c>
      <c r="B266" s="1" t="s">
        <v>569</v>
      </c>
      <c r="C266" s="104" t="s">
        <v>499</v>
      </c>
      <c r="D266" s="18" t="s">
        <v>161</v>
      </c>
      <c r="E266" s="130">
        <v>45989</v>
      </c>
      <c r="F266" s="24">
        <v>45993</v>
      </c>
      <c r="G266" s="1">
        <f t="shared" si="19"/>
        <v>4</v>
      </c>
      <c r="H266" s="1">
        <v>1</v>
      </c>
      <c r="I266" s="1">
        <v>200</v>
      </c>
      <c r="J266" s="1">
        <f t="shared" si="20"/>
        <v>800</v>
      </c>
      <c r="K266" s="85" t="s">
        <v>243</v>
      </c>
    </row>
    <row r="267" customHeight="1" spans="1:11">
      <c r="A267" s="1" t="s">
        <v>602</v>
      </c>
      <c r="C267" s="18" t="s">
        <v>576</v>
      </c>
      <c r="D267" s="104" t="s">
        <v>153</v>
      </c>
      <c r="E267" s="122">
        <v>45991</v>
      </c>
      <c r="F267" s="24">
        <v>45992</v>
      </c>
      <c r="G267" s="1">
        <f t="shared" si="19"/>
        <v>1</v>
      </c>
      <c r="H267" s="1">
        <v>1</v>
      </c>
      <c r="I267" s="1">
        <v>240</v>
      </c>
      <c r="J267" s="1">
        <f t="shared" si="20"/>
        <v>240</v>
      </c>
      <c r="K267" s="85" t="s">
        <v>243</v>
      </c>
    </row>
    <row r="268" customHeight="1" spans="1:11">
      <c r="A268" s="1" t="s">
        <v>603</v>
      </c>
      <c r="C268" s="18" t="s">
        <v>499</v>
      </c>
      <c r="D268" s="18" t="s">
        <v>153</v>
      </c>
      <c r="E268" s="130">
        <v>45990</v>
      </c>
      <c r="F268" s="24">
        <v>45993</v>
      </c>
      <c r="G268" s="1">
        <f t="shared" si="19"/>
        <v>3</v>
      </c>
      <c r="H268" s="1">
        <v>1</v>
      </c>
      <c r="I268" s="1">
        <v>200</v>
      </c>
      <c r="J268" s="1">
        <f t="shared" si="20"/>
        <v>600</v>
      </c>
      <c r="K268" s="85" t="s">
        <v>243</v>
      </c>
    </row>
    <row r="269" customHeight="1" spans="1:11">
      <c r="A269" s="1" t="s">
        <v>604</v>
      </c>
      <c r="C269" s="18" t="s">
        <v>499</v>
      </c>
      <c r="D269" s="18" t="s">
        <v>153</v>
      </c>
      <c r="E269" s="122">
        <v>45991</v>
      </c>
      <c r="F269" s="24">
        <v>45992</v>
      </c>
      <c r="G269" s="1">
        <f t="shared" si="19"/>
        <v>1</v>
      </c>
      <c r="H269" s="1">
        <v>1</v>
      </c>
      <c r="I269" s="1">
        <v>200</v>
      </c>
      <c r="J269" s="1">
        <f t="shared" si="20"/>
        <v>200</v>
      </c>
      <c r="K269" s="85" t="s">
        <v>243</v>
      </c>
    </row>
    <row r="270" customHeight="1" spans="1:11">
      <c r="A270" s="1" t="s">
        <v>605</v>
      </c>
      <c r="C270" s="18" t="s">
        <v>25</v>
      </c>
      <c r="D270" s="18" t="s">
        <v>153</v>
      </c>
      <c r="E270" s="122">
        <v>45991</v>
      </c>
      <c r="F270" s="24">
        <v>45992</v>
      </c>
      <c r="G270" s="1">
        <f t="shared" si="19"/>
        <v>1</v>
      </c>
      <c r="H270" s="1">
        <v>1</v>
      </c>
      <c r="I270" s="1">
        <v>200</v>
      </c>
      <c r="J270" s="1">
        <f t="shared" si="20"/>
        <v>200</v>
      </c>
      <c r="K270" s="85" t="s">
        <v>243</v>
      </c>
    </row>
    <row r="271" customHeight="1" spans="1:11">
      <c r="A271" s="1" t="s">
        <v>606</v>
      </c>
      <c r="C271" s="18" t="s">
        <v>25</v>
      </c>
      <c r="D271" s="18" t="s">
        <v>153</v>
      </c>
      <c r="E271" s="122">
        <v>45991</v>
      </c>
      <c r="F271" s="24">
        <v>45993</v>
      </c>
      <c r="G271" s="1">
        <f t="shared" si="19"/>
        <v>2</v>
      </c>
      <c r="H271" s="1">
        <v>1</v>
      </c>
      <c r="I271" s="1">
        <v>200</v>
      </c>
      <c r="J271" s="1">
        <f t="shared" si="20"/>
        <v>400</v>
      </c>
      <c r="K271" s="85" t="s">
        <v>243</v>
      </c>
    </row>
    <row r="272" customHeight="1" spans="1:11">
      <c r="A272" s="97" t="s">
        <v>607</v>
      </c>
      <c r="B272" s="97"/>
      <c r="C272" s="74" t="s">
        <v>48</v>
      </c>
      <c r="D272" s="78" t="s">
        <v>384</v>
      </c>
      <c r="E272" s="105">
        <v>45989</v>
      </c>
      <c r="F272" s="81">
        <v>45992</v>
      </c>
      <c r="G272" s="97">
        <f t="shared" si="19"/>
        <v>3</v>
      </c>
      <c r="H272" s="97">
        <v>1</v>
      </c>
      <c r="I272" s="1">
        <v>510</v>
      </c>
      <c r="J272" s="1">
        <f t="shared" si="20"/>
        <v>1530</v>
      </c>
      <c r="K272" s="85" t="s">
        <v>243</v>
      </c>
    </row>
    <row r="273" s="57" customFormat="1" customHeight="1" spans="1:11">
      <c r="A273" s="97" t="s">
        <v>608</v>
      </c>
      <c r="B273" s="78" t="s">
        <v>609</v>
      </c>
      <c r="C273" s="74" t="s">
        <v>53</v>
      </c>
      <c r="D273" s="132" t="s">
        <v>242</v>
      </c>
      <c r="E273" s="105">
        <v>45989</v>
      </c>
      <c r="F273" s="81">
        <v>45992</v>
      </c>
      <c r="G273" s="97">
        <f t="shared" si="19"/>
        <v>3</v>
      </c>
      <c r="H273" s="97">
        <v>1</v>
      </c>
      <c r="I273" s="97">
        <v>470</v>
      </c>
      <c r="J273" s="97">
        <f t="shared" si="20"/>
        <v>1410</v>
      </c>
      <c r="K273" s="80" t="s">
        <v>243</v>
      </c>
    </row>
    <row r="274" customHeight="1" spans="1:11">
      <c r="A274" s="87"/>
      <c r="K274" s="11"/>
    </row>
    <row r="275" customHeight="1" spans="1:11">
      <c r="A275" s="90" t="s">
        <v>610</v>
      </c>
      <c r="K275" s="11"/>
    </row>
    <row r="276" customHeight="1" spans="1:11">
      <c r="A276" s="88" t="s">
        <v>611</v>
      </c>
      <c r="B276" s="2" t="s">
        <v>612</v>
      </c>
      <c r="C276" s="74" t="s">
        <v>53</v>
      </c>
      <c r="D276" s="23" t="s">
        <v>333</v>
      </c>
      <c r="E276" s="24">
        <v>45989</v>
      </c>
      <c r="F276" s="24">
        <v>45991</v>
      </c>
      <c r="G276" s="88">
        <f>F276-E276</f>
        <v>2</v>
      </c>
      <c r="H276" s="88">
        <v>1</v>
      </c>
      <c r="I276" s="88">
        <v>470</v>
      </c>
      <c r="J276" s="88">
        <f>G276*H276*I276</f>
        <v>940</v>
      </c>
      <c r="K276" s="85" t="s">
        <v>243</v>
      </c>
    </row>
    <row r="277" customHeight="1" spans="1:11">
      <c r="A277" s="97" t="s">
        <v>613</v>
      </c>
      <c r="B277" s="131" t="s">
        <v>614</v>
      </c>
      <c r="C277" s="74" t="s">
        <v>53</v>
      </c>
      <c r="D277" s="78" t="s">
        <v>229</v>
      </c>
      <c r="E277" s="105">
        <v>45990</v>
      </c>
      <c r="F277" s="81">
        <v>45992</v>
      </c>
      <c r="G277" s="97">
        <f t="shared" ref="G277:G282" si="21">F277-E277</f>
        <v>2</v>
      </c>
      <c r="H277" s="97">
        <v>1</v>
      </c>
      <c r="I277" s="97">
        <v>438</v>
      </c>
      <c r="J277" s="97">
        <f t="shared" ref="J277:J282" si="22">G277*H277*I277</f>
        <v>876</v>
      </c>
      <c r="K277" s="80" t="s">
        <v>243</v>
      </c>
    </row>
    <row r="278" customHeight="1" spans="1:11">
      <c r="A278" s="1" t="s">
        <v>615</v>
      </c>
      <c r="B278" s="104" t="s">
        <v>569</v>
      </c>
      <c r="C278" s="18" t="s">
        <v>13</v>
      </c>
      <c r="D278" s="18" t="s">
        <v>229</v>
      </c>
      <c r="E278" s="122">
        <v>45991</v>
      </c>
      <c r="F278" s="24">
        <v>45992</v>
      </c>
      <c r="G278" s="1">
        <f t="shared" si="21"/>
        <v>1</v>
      </c>
      <c r="H278" s="1">
        <v>1</v>
      </c>
      <c r="I278" s="1">
        <v>540</v>
      </c>
      <c r="J278" s="1">
        <f t="shared" si="22"/>
        <v>540</v>
      </c>
      <c r="K278" s="85" t="s">
        <v>243</v>
      </c>
    </row>
    <row r="279" customHeight="1" spans="1:11">
      <c r="A279" s="1" t="s">
        <v>616</v>
      </c>
      <c r="B279" s="18"/>
      <c r="C279" s="18" t="s">
        <v>13</v>
      </c>
      <c r="D279" s="18" t="s">
        <v>229</v>
      </c>
      <c r="E279" s="122">
        <v>45991</v>
      </c>
      <c r="F279" s="24">
        <v>45993</v>
      </c>
      <c r="G279" s="1">
        <f t="shared" si="21"/>
        <v>2</v>
      </c>
      <c r="H279" s="1">
        <v>1</v>
      </c>
      <c r="I279" s="1">
        <v>540</v>
      </c>
      <c r="J279" s="1">
        <f t="shared" si="22"/>
        <v>1080</v>
      </c>
      <c r="K279" s="120"/>
    </row>
    <row r="280" customHeight="1" spans="1:11">
      <c r="A280" s="1" t="s">
        <v>617</v>
      </c>
      <c r="B280" s="18"/>
      <c r="C280" s="18" t="s">
        <v>13</v>
      </c>
      <c r="D280" s="18" t="s">
        <v>229</v>
      </c>
      <c r="E280" s="122">
        <v>45991</v>
      </c>
      <c r="F280" s="24">
        <v>45992</v>
      </c>
      <c r="G280" s="1">
        <f t="shared" si="21"/>
        <v>1</v>
      </c>
      <c r="H280" s="1">
        <v>1</v>
      </c>
      <c r="I280" s="1">
        <v>540</v>
      </c>
      <c r="J280" s="1">
        <f t="shared" si="22"/>
        <v>540</v>
      </c>
      <c r="K280" s="120"/>
    </row>
    <row r="281" customHeight="1" spans="1:11">
      <c r="A281" s="88" t="s">
        <v>618</v>
      </c>
      <c r="B281" s="2" t="s">
        <v>619</v>
      </c>
      <c r="C281" s="2" t="s">
        <v>53</v>
      </c>
      <c r="D281" s="23" t="s">
        <v>333</v>
      </c>
      <c r="E281" s="24">
        <v>45989</v>
      </c>
      <c r="F281" s="24">
        <v>45991</v>
      </c>
      <c r="G281" s="88">
        <f t="shared" si="21"/>
        <v>2</v>
      </c>
      <c r="H281" s="88">
        <v>1</v>
      </c>
      <c r="I281" s="88">
        <v>470</v>
      </c>
      <c r="J281" s="88">
        <f t="shared" si="22"/>
        <v>940</v>
      </c>
      <c r="K281" s="85" t="s">
        <v>243</v>
      </c>
    </row>
    <row r="282" customHeight="1" spans="1:11">
      <c r="A282" s="88" t="s">
        <v>620</v>
      </c>
      <c r="B282" s="2" t="s">
        <v>621</v>
      </c>
      <c r="C282" s="74" t="s">
        <v>53</v>
      </c>
      <c r="D282" s="23" t="s">
        <v>333</v>
      </c>
      <c r="E282" s="24">
        <v>45990</v>
      </c>
      <c r="F282" s="24">
        <v>45992</v>
      </c>
      <c r="G282" s="88">
        <f t="shared" si="21"/>
        <v>2</v>
      </c>
      <c r="H282" s="88">
        <v>2</v>
      </c>
      <c r="I282" s="88">
        <v>470</v>
      </c>
      <c r="J282" s="88">
        <f t="shared" si="22"/>
        <v>1880</v>
      </c>
      <c r="K282" s="85" t="s">
        <v>243</v>
      </c>
    </row>
    <row r="283" customHeight="1" spans="1:11">
      <c r="A283" s="90" t="s">
        <v>622</v>
      </c>
    </row>
    <row r="284" customHeight="1" spans="1:11">
      <c r="A284" s="1" t="s">
        <v>623</v>
      </c>
      <c r="B284" s="2" t="s">
        <v>624</v>
      </c>
      <c r="C284" s="74" t="s">
        <v>48</v>
      </c>
      <c r="D284" s="116" t="s">
        <v>78</v>
      </c>
      <c r="E284" s="24">
        <v>45990</v>
      </c>
      <c r="F284" s="24">
        <v>45992</v>
      </c>
      <c r="G284" s="1">
        <f>F284-E284</f>
        <v>2</v>
      </c>
      <c r="H284" s="1">
        <v>1</v>
      </c>
      <c r="I284" s="1">
        <v>758</v>
      </c>
      <c r="J284" s="1">
        <f>G284*H284*I284</f>
        <v>1516</v>
      </c>
      <c r="K284" s="85" t="s">
        <v>243</v>
      </c>
    </row>
    <row r="285" customHeight="1" spans="1:11">
      <c r="A285" s="90" t="s">
        <v>625</v>
      </c>
    </row>
    <row r="286" customHeight="1" spans="1:11">
      <c r="K286" s="85" t="s">
        <v>243</v>
      </c>
    </row>
    <row r="287" customHeight="1" spans="1:11">
      <c r="A287" s="90" t="s">
        <v>626</v>
      </c>
    </row>
    <row r="288" customHeight="1" spans="1:11">
      <c r="A288" s="1" t="s">
        <v>627</v>
      </c>
      <c r="B288" s="104" t="s">
        <v>628</v>
      </c>
      <c r="C288" s="2" t="s">
        <v>53</v>
      </c>
      <c r="D288" s="23" t="s">
        <v>333</v>
      </c>
      <c r="E288" s="24">
        <v>45990</v>
      </c>
      <c r="F288" s="24">
        <v>45992</v>
      </c>
      <c r="G288" s="1">
        <f>F288-E288</f>
        <v>2</v>
      </c>
      <c r="H288" s="1">
        <v>1</v>
      </c>
      <c r="I288" s="1">
        <v>470</v>
      </c>
      <c r="J288" s="1">
        <f>G288*H288*I288</f>
        <v>940</v>
      </c>
      <c r="K288" s="85" t="s">
        <v>243</v>
      </c>
    </row>
    <row r="289" customHeight="1" spans="1:12">
      <c r="A289" s="104" t="s">
        <v>629</v>
      </c>
      <c r="B289" s="104" t="s">
        <v>630</v>
      </c>
      <c r="C289" s="2" t="s">
        <v>53</v>
      </c>
      <c r="D289" s="23" t="s">
        <v>333</v>
      </c>
      <c r="E289" s="24">
        <v>45989</v>
      </c>
      <c r="F289" s="24">
        <v>45992</v>
      </c>
      <c r="G289" s="1">
        <f>F289-E289</f>
        <v>3</v>
      </c>
      <c r="H289" s="1">
        <v>1</v>
      </c>
      <c r="I289" s="1">
        <v>470</v>
      </c>
      <c r="J289" s="1">
        <f>G289*H289*I289</f>
        <v>1410</v>
      </c>
      <c r="K289" s="85" t="s">
        <v>243</v>
      </c>
    </row>
    <row r="290" customHeight="1" spans="1:12">
      <c r="A290" s="1" t="s">
        <v>631</v>
      </c>
      <c r="B290" s="18"/>
      <c r="C290" s="2" t="s">
        <v>53</v>
      </c>
      <c r="D290" s="23" t="s">
        <v>333</v>
      </c>
      <c r="E290" s="24">
        <v>45989</v>
      </c>
      <c r="F290" s="24">
        <v>45992</v>
      </c>
      <c r="G290" s="1">
        <f>F290-E290</f>
        <v>3</v>
      </c>
      <c r="H290" s="1">
        <v>1</v>
      </c>
      <c r="I290" s="1">
        <v>470</v>
      </c>
      <c r="J290" s="1">
        <f>G290*H290*I290</f>
        <v>1410</v>
      </c>
      <c r="K290" s="120"/>
    </row>
    <row r="291" customHeight="1" spans="1:12">
      <c r="A291" s="1" t="s">
        <v>632</v>
      </c>
      <c r="B291" s="18"/>
      <c r="C291" s="2" t="s">
        <v>53</v>
      </c>
      <c r="D291" s="23" t="s">
        <v>333</v>
      </c>
      <c r="E291" s="24">
        <v>45989</v>
      </c>
      <c r="F291" s="24">
        <v>45992</v>
      </c>
      <c r="G291" s="1">
        <f>F291-E291</f>
        <v>3</v>
      </c>
      <c r="H291" s="1">
        <v>1</v>
      </c>
      <c r="I291" s="1">
        <v>470</v>
      </c>
      <c r="J291" s="1">
        <f>G291*H291*I291</f>
        <v>1410</v>
      </c>
      <c r="K291" s="120"/>
    </row>
    <row r="292" customHeight="1" spans="1:12">
      <c r="A292" s="90" t="s">
        <v>633</v>
      </c>
    </row>
    <row r="293" customHeight="1" spans="1:12">
      <c r="A293" s="18" t="s">
        <v>634</v>
      </c>
      <c r="B293" s="1" t="s">
        <v>635</v>
      </c>
      <c r="C293" s="2" t="s">
        <v>53</v>
      </c>
      <c r="D293" s="88" t="s">
        <v>229</v>
      </c>
      <c r="E293" s="105">
        <v>45989</v>
      </c>
      <c r="F293" s="81">
        <v>45993</v>
      </c>
      <c r="G293" s="1">
        <f>F293-E293</f>
        <v>4</v>
      </c>
      <c r="H293" s="1">
        <v>1</v>
      </c>
      <c r="I293" s="1">
        <v>438</v>
      </c>
      <c r="J293" s="1">
        <f>G293*H293*I293</f>
        <v>1752</v>
      </c>
      <c r="K293" s="85" t="s">
        <v>243</v>
      </c>
    </row>
    <row r="294" customHeight="1" spans="1:12">
      <c r="A294" s="18"/>
      <c r="B294" s="104"/>
      <c r="C294" s="18"/>
      <c r="D294" s="23"/>
      <c r="E294" s="105"/>
      <c r="F294" s="24"/>
      <c r="G294" s="1"/>
      <c r="H294" s="1"/>
      <c r="I294" s="1"/>
      <c r="J294" s="1"/>
      <c r="K294" s="85" t="s">
        <v>243</v>
      </c>
    </row>
    <row r="295" customHeight="1" spans="1:12">
      <c r="A295" s="104" t="s">
        <v>636</v>
      </c>
      <c r="B295" s="104" t="s">
        <v>637</v>
      </c>
      <c r="C295" s="18" t="s">
        <v>53</v>
      </c>
      <c r="D295" s="23" t="s">
        <v>242</v>
      </c>
      <c r="E295" s="24">
        <v>45989</v>
      </c>
      <c r="F295" s="24">
        <v>45992</v>
      </c>
      <c r="G295" s="1">
        <f>F295-E295</f>
        <v>3</v>
      </c>
      <c r="H295" s="1">
        <v>1</v>
      </c>
      <c r="I295" s="1">
        <v>470</v>
      </c>
      <c r="J295" s="1">
        <f>G295*H295*I295</f>
        <v>1410</v>
      </c>
      <c r="K295" s="85" t="s">
        <v>243</v>
      </c>
    </row>
    <row r="296" customHeight="1" spans="1:12">
      <c r="K296" s="85" t="s">
        <v>243</v>
      </c>
      <c r="L296" s="3"/>
    </row>
    <row r="297" customHeight="1" spans="1:12">
      <c r="A297" s="28" t="s">
        <v>638</v>
      </c>
      <c r="B297" s="104"/>
      <c r="C297" s="104"/>
      <c r="D297" s="2"/>
      <c r="E297" s="24"/>
      <c r="F297" s="24"/>
      <c r="G297" s="1"/>
      <c r="H297" s="1"/>
      <c r="I297" s="1"/>
      <c r="J297" s="1"/>
      <c r="K297" s="85"/>
    </row>
    <row r="298" customHeight="1" spans="1:12">
      <c r="A298" s="1" t="s">
        <v>639</v>
      </c>
      <c r="B298" s="2" t="s">
        <v>614</v>
      </c>
      <c r="C298" s="18" t="s">
        <v>53</v>
      </c>
      <c r="D298" s="1" t="s">
        <v>242</v>
      </c>
      <c r="E298" s="24">
        <v>45990</v>
      </c>
      <c r="F298" s="24">
        <v>45993</v>
      </c>
      <c r="G298" s="1">
        <f>F298-E298</f>
        <v>3</v>
      </c>
      <c r="H298" s="1">
        <v>1</v>
      </c>
      <c r="I298" s="1">
        <v>470</v>
      </c>
      <c r="J298" s="1">
        <f>I298*H298*G298</f>
        <v>1410</v>
      </c>
      <c r="K298" s="85" t="s">
        <v>243</v>
      </c>
    </row>
    <row r="299" customHeight="1" spans="1:12">
      <c r="A299" s="2" t="s">
        <v>640</v>
      </c>
      <c r="B299" s="2" t="s">
        <v>641</v>
      </c>
      <c r="C299" s="2" t="s">
        <v>53</v>
      </c>
      <c r="D299" s="88" t="s">
        <v>229</v>
      </c>
      <c r="E299" s="105">
        <v>45989</v>
      </c>
      <c r="F299" s="81">
        <v>45992</v>
      </c>
      <c r="G299" s="1">
        <f>F299-E299</f>
        <v>3</v>
      </c>
      <c r="H299" s="1">
        <v>13</v>
      </c>
      <c r="I299" s="1">
        <v>438</v>
      </c>
      <c r="J299" s="1">
        <f>G299*H299*I299</f>
        <v>17082</v>
      </c>
      <c r="K299" s="85" t="s">
        <v>243</v>
      </c>
    </row>
    <row r="300" customHeight="1" spans="1:12">
      <c r="A300" s="85" t="s">
        <v>642</v>
      </c>
      <c r="C300" s="2"/>
      <c r="D300" s="88"/>
      <c r="E300" s="105"/>
      <c r="F300" s="81"/>
      <c r="G300" s="1"/>
      <c r="H300" s="1"/>
      <c r="I300" s="1"/>
      <c r="J300" s="1"/>
      <c r="K300" s="85" t="s">
        <v>243</v>
      </c>
    </row>
    <row r="301" customHeight="1" spans="1:12">
      <c r="A301" s="28" t="s">
        <v>643</v>
      </c>
      <c r="G301" s="1"/>
      <c r="H301" s="1"/>
      <c r="I301" s="1"/>
      <c r="J301" s="1"/>
    </row>
    <row r="302" customHeight="1" spans="1:12">
      <c r="A302" s="2" t="s">
        <v>644</v>
      </c>
      <c r="B302" s="2" t="s">
        <v>619</v>
      </c>
      <c r="C302" s="23" t="s">
        <v>53</v>
      </c>
      <c r="D302" s="88" t="s">
        <v>445</v>
      </c>
      <c r="E302" s="24">
        <v>45990</v>
      </c>
      <c r="F302" s="24">
        <v>45992</v>
      </c>
      <c r="G302" s="88">
        <f t="shared" ref="G302:G307" si="23">F302-E302</f>
        <v>2</v>
      </c>
      <c r="H302" s="88">
        <v>1</v>
      </c>
      <c r="I302" s="88">
        <v>438</v>
      </c>
      <c r="J302" s="88">
        <f>I302*H302*G302</f>
        <v>876</v>
      </c>
      <c r="K302" s="85" t="s">
        <v>243</v>
      </c>
      <c r="L302" s="3"/>
    </row>
    <row r="303" customHeight="1" spans="1:12">
      <c r="A303" s="2" t="s">
        <v>645</v>
      </c>
      <c r="B303" s="2"/>
      <c r="C303" s="23" t="s">
        <v>53</v>
      </c>
      <c r="D303" s="2" t="s">
        <v>333</v>
      </c>
      <c r="E303" s="128">
        <v>45990</v>
      </c>
      <c r="F303" s="24">
        <v>45991</v>
      </c>
      <c r="G303" s="88">
        <f t="shared" si="23"/>
        <v>1</v>
      </c>
      <c r="H303" s="88">
        <v>1</v>
      </c>
      <c r="I303" s="88">
        <v>470</v>
      </c>
      <c r="J303" s="88">
        <f>I303*H303*G303</f>
        <v>470</v>
      </c>
      <c r="K303" s="85"/>
    </row>
    <row r="304" customHeight="1" spans="1:12">
      <c r="A304" s="23" t="s">
        <v>646</v>
      </c>
      <c r="B304" s="2"/>
      <c r="C304" s="23" t="s">
        <v>53</v>
      </c>
      <c r="D304" s="2" t="s">
        <v>333</v>
      </c>
      <c r="E304" s="24">
        <v>45989</v>
      </c>
      <c r="F304" s="24">
        <v>45992</v>
      </c>
      <c r="G304" s="88">
        <f t="shared" si="23"/>
        <v>3</v>
      </c>
      <c r="H304" s="88">
        <v>1</v>
      </c>
      <c r="I304" s="88">
        <v>470</v>
      </c>
      <c r="J304" s="88">
        <f>G304*H304*I304</f>
        <v>1410</v>
      </c>
      <c r="K304" s="85"/>
    </row>
    <row r="305" customHeight="1" spans="1:11">
      <c r="A305" s="2" t="s">
        <v>647</v>
      </c>
      <c r="B305" s="2"/>
      <c r="C305" s="23" t="s">
        <v>53</v>
      </c>
      <c r="D305" s="2" t="s">
        <v>333</v>
      </c>
      <c r="E305" s="128">
        <v>45990</v>
      </c>
      <c r="F305" s="24">
        <v>45992</v>
      </c>
      <c r="G305" s="88">
        <f t="shared" si="23"/>
        <v>2</v>
      </c>
      <c r="H305" s="88">
        <v>1</v>
      </c>
      <c r="I305" s="88">
        <v>470</v>
      </c>
      <c r="J305" s="88">
        <f>I305*H305*G305</f>
        <v>940</v>
      </c>
      <c r="K305" s="85"/>
    </row>
    <row r="306" customHeight="1" spans="1:11">
      <c r="A306" s="2" t="s">
        <v>648</v>
      </c>
      <c r="B306" s="2" t="s">
        <v>649</v>
      </c>
      <c r="C306" s="23" t="s">
        <v>53</v>
      </c>
      <c r="D306" s="2" t="s">
        <v>333</v>
      </c>
      <c r="E306" s="24">
        <v>45989</v>
      </c>
      <c r="F306" s="24">
        <v>45992</v>
      </c>
      <c r="G306" s="88">
        <f t="shared" si="23"/>
        <v>3</v>
      </c>
      <c r="H306" s="88">
        <v>1</v>
      </c>
      <c r="I306" s="88">
        <v>470</v>
      </c>
      <c r="J306" s="88">
        <f>G306*H306*I306</f>
        <v>1410</v>
      </c>
      <c r="K306" s="85"/>
    </row>
    <row r="307" customHeight="1" spans="1:11">
      <c r="A307" s="88" t="s">
        <v>650</v>
      </c>
      <c r="B307" s="2" t="s">
        <v>651</v>
      </c>
      <c r="C307" s="23" t="s">
        <v>53</v>
      </c>
      <c r="D307" s="2" t="s">
        <v>333</v>
      </c>
      <c r="E307" s="128">
        <v>45991</v>
      </c>
      <c r="F307" s="24">
        <v>45993</v>
      </c>
      <c r="G307" s="88">
        <f t="shared" si="23"/>
        <v>2</v>
      </c>
      <c r="H307" s="88">
        <v>1</v>
      </c>
      <c r="I307" s="88">
        <v>470</v>
      </c>
      <c r="J307" s="88">
        <f>I307*H307*G307</f>
        <v>940</v>
      </c>
      <c r="K307" s="85"/>
    </row>
    <row r="308" customHeight="1" spans="1:11">
      <c r="A308" s="88" t="s">
        <v>652</v>
      </c>
      <c r="B308" s="2" t="s">
        <v>653</v>
      </c>
      <c r="C308" s="23" t="s">
        <v>53</v>
      </c>
      <c r="D308" s="2" t="s">
        <v>333</v>
      </c>
      <c r="E308" s="24">
        <v>45989</v>
      </c>
      <c r="F308" s="24">
        <v>45990</v>
      </c>
      <c r="G308" s="88">
        <f t="shared" ref="G308:G317" si="24">F308-E308</f>
        <v>1</v>
      </c>
      <c r="H308" s="88">
        <v>1</v>
      </c>
      <c r="I308" s="88">
        <v>470</v>
      </c>
      <c r="J308" s="88">
        <f t="shared" ref="J308:J317" si="25">I308*H308*G308</f>
        <v>470</v>
      </c>
      <c r="K308" s="85"/>
    </row>
    <row r="309" customHeight="1" spans="1:11">
      <c r="A309" s="88" t="s">
        <v>654</v>
      </c>
      <c r="B309" s="2" t="s">
        <v>655</v>
      </c>
      <c r="C309" s="23" t="s">
        <v>53</v>
      </c>
      <c r="D309" s="2" t="s">
        <v>333</v>
      </c>
      <c r="E309" s="128">
        <v>45990</v>
      </c>
      <c r="F309" s="24">
        <v>45992</v>
      </c>
      <c r="G309" s="88">
        <f t="shared" si="24"/>
        <v>2</v>
      </c>
      <c r="H309" s="88">
        <v>1</v>
      </c>
      <c r="I309" s="88">
        <v>470</v>
      </c>
      <c r="J309" s="88">
        <f t="shared" si="25"/>
        <v>940</v>
      </c>
      <c r="K309" s="85"/>
    </row>
    <row r="310" customHeight="1" spans="1:11">
      <c r="A310" s="88" t="s">
        <v>656</v>
      </c>
      <c r="B310" s="2" t="s">
        <v>657</v>
      </c>
      <c r="C310" s="23" t="s">
        <v>53</v>
      </c>
      <c r="D310" s="2" t="s">
        <v>333</v>
      </c>
      <c r="E310" s="128">
        <v>45990</v>
      </c>
      <c r="F310" s="24">
        <v>45992</v>
      </c>
      <c r="G310" s="88">
        <f t="shared" si="24"/>
        <v>2</v>
      </c>
      <c r="H310" s="88">
        <v>1</v>
      </c>
      <c r="I310" s="88">
        <v>470</v>
      </c>
      <c r="J310" s="88">
        <f t="shared" si="25"/>
        <v>940</v>
      </c>
      <c r="K310" s="85"/>
    </row>
    <row r="311" customHeight="1" spans="1:11">
      <c r="A311" s="88" t="s">
        <v>658</v>
      </c>
      <c r="B311" s="2" t="s">
        <v>659</v>
      </c>
      <c r="C311" s="23" t="s">
        <v>53</v>
      </c>
      <c r="D311" s="99" t="s">
        <v>229</v>
      </c>
      <c r="E311" s="24">
        <v>45989</v>
      </c>
      <c r="F311" s="24">
        <v>45991</v>
      </c>
      <c r="G311" s="88">
        <f t="shared" si="24"/>
        <v>2</v>
      </c>
      <c r="H311" s="88">
        <v>1</v>
      </c>
      <c r="I311" s="133">
        <v>438</v>
      </c>
      <c r="J311" s="88">
        <f t="shared" si="25"/>
        <v>876</v>
      </c>
      <c r="K311" s="85"/>
    </row>
    <row r="312" customHeight="1" spans="1:11">
      <c r="A312" s="88" t="s">
        <v>660</v>
      </c>
      <c r="B312" s="2" t="s">
        <v>661</v>
      </c>
      <c r="C312" s="23" t="s">
        <v>53</v>
      </c>
      <c r="D312" s="2" t="s">
        <v>242</v>
      </c>
      <c r="E312" s="24">
        <v>45989</v>
      </c>
      <c r="F312" s="24">
        <v>45992</v>
      </c>
      <c r="G312" s="88">
        <f t="shared" si="24"/>
        <v>3</v>
      </c>
      <c r="H312" s="88">
        <v>1</v>
      </c>
      <c r="I312" s="88">
        <v>470</v>
      </c>
      <c r="J312" s="88">
        <f t="shared" si="25"/>
        <v>1410</v>
      </c>
      <c r="K312" s="85"/>
    </row>
    <row r="313" customHeight="1" spans="1:11">
      <c r="A313" s="2" t="s">
        <v>662</v>
      </c>
      <c r="B313" s="88" t="s">
        <v>641</v>
      </c>
      <c r="C313" s="23" t="s">
        <v>53</v>
      </c>
      <c r="D313" s="2" t="s">
        <v>242</v>
      </c>
      <c r="E313" s="24">
        <v>45989</v>
      </c>
      <c r="F313" s="24">
        <v>45992</v>
      </c>
      <c r="G313" s="88">
        <f t="shared" si="24"/>
        <v>3</v>
      </c>
      <c r="H313" s="88">
        <v>1</v>
      </c>
      <c r="I313" s="88">
        <v>470</v>
      </c>
      <c r="J313" s="88">
        <f t="shared" si="25"/>
        <v>1410</v>
      </c>
      <c r="K313" s="85"/>
    </row>
    <row r="314" customHeight="1" spans="1:11">
      <c r="A314" s="18" t="s">
        <v>663</v>
      </c>
      <c r="B314" s="2" t="s">
        <v>664</v>
      </c>
      <c r="C314" s="23" t="s">
        <v>53</v>
      </c>
      <c r="D314" s="2" t="s">
        <v>333</v>
      </c>
      <c r="E314" s="128">
        <v>45990</v>
      </c>
      <c r="F314" s="24">
        <v>45992</v>
      </c>
      <c r="G314" s="88">
        <f t="shared" si="24"/>
        <v>2</v>
      </c>
      <c r="H314" s="88">
        <v>1</v>
      </c>
      <c r="I314" s="88">
        <v>470</v>
      </c>
      <c r="J314" s="88">
        <f t="shared" si="25"/>
        <v>940</v>
      </c>
      <c r="K314" s="85"/>
    </row>
    <row r="315" customHeight="1" spans="1:11">
      <c r="A315" s="104" t="s">
        <v>665</v>
      </c>
      <c r="B315" s="88"/>
      <c r="C315" s="23" t="s">
        <v>53</v>
      </c>
      <c r="D315" s="2" t="s">
        <v>333</v>
      </c>
      <c r="E315" s="24">
        <v>45989</v>
      </c>
      <c r="F315" s="24">
        <v>45992</v>
      </c>
      <c r="G315" s="88">
        <f t="shared" si="24"/>
        <v>3</v>
      </c>
      <c r="H315" s="1">
        <v>1</v>
      </c>
      <c r="I315" s="1">
        <v>470</v>
      </c>
      <c r="J315" s="88">
        <f t="shared" si="25"/>
        <v>1410</v>
      </c>
      <c r="K315" s="85"/>
    </row>
    <row r="316" customHeight="1" spans="1:11">
      <c r="A316" s="18" t="s">
        <v>666</v>
      </c>
      <c r="B316" s="88"/>
      <c r="C316" s="23" t="s">
        <v>53</v>
      </c>
      <c r="D316" s="2" t="s">
        <v>333</v>
      </c>
      <c r="E316" s="128">
        <v>45990</v>
      </c>
      <c r="F316" s="24">
        <v>45992</v>
      </c>
      <c r="G316" s="88">
        <f t="shared" si="24"/>
        <v>2</v>
      </c>
      <c r="H316" s="1">
        <v>1</v>
      </c>
      <c r="I316" s="1">
        <v>470</v>
      </c>
      <c r="J316" s="88">
        <f t="shared" si="25"/>
        <v>940</v>
      </c>
      <c r="K316" s="85"/>
    </row>
    <row r="317" customHeight="1" spans="1:11">
      <c r="A317" s="1" t="s">
        <v>667</v>
      </c>
      <c r="B317" s="2" t="s">
        <v>668</v>
      </c>
      <c r="C317" s="23" t="s">
        <v>53</v>
      </c>
      <c r="D317" s="2" t="s">
        <v>333</v>
      </c>
      <c r="E317" s="24">
        <v>45989</v>
      </c>
      <c r="F317" s="24">
        <v>45992</v>
      </c>
      <c r="G317" s="88">
        <f t="shared" si="24"/>
        <v>3</v>
      </c>
      <c r="H317" s="1">
        <v>1</v>
      </c>
      <c r="I317" s="1">
        <v>470</v>
      </c>
      <c r="J317" s="88">
        <f t="shared" si="25"/>
        <v>1410</v>
      </c>
      <c r="K317" s="85"/>
    </row>
    <row r="318" customHeight="1" spans="1:11">
      <c r="A318" s="28" t="s">
        <v>669</v>
      </c>
    </row>
    <row r="319" customHeight="1" spans="1:11">
      <c r="A319" s="1" t="s">
        <v>670</v>
      </c>
      <c r="B319" s="2" t="s">
        <v>671</v>
      </c>
      <c r="C319" s="23" t="s">
        <v>53</v>
      </c>
      <c r="D319" s="2" t="s">
        <v>333</v>
      </c>
      <c r="E319" s="24">
        <v>45989</v>
      </c>
      <c r="F319" s="24">
        <v>45991</v>
      </c>
      <c r="G319" s="1">
        <f t="shared" ref="G319:G326" si="26">F319-E319</f>
        <v>2</v>
      </c>
      <c r="H319" s="1">
        <v>1</v>
      </c>
      <c r="I319" s="1">
        <v>470</v>
      </c>
      <c r="J319" s="88">
        <f>I319*H319*G319</f>
        <v>940</v>
      </c>
      <c r="K319" s="85" t="s">
        <v>243</v>
      </c>
    </row>
    <row r="320" customHeight="1" spans="1:11">
      <c r="A320" s="1" t="s">
        <v>672</v>
      </c>
      <c r="B320" s="2" t="s">
        <v>673</v>
      </c>
      <c r="C320" s="23" t="s">
        <v>53</v>
      </c>
      <c r="D320" s="2" t="s">
        <v>333</v>
      </c>
      <c r="E320" s="128">
        <v>45991</v>
      </c>
      <c r="F320" s="24">
        <v>45992</v>
      </c>
      <c r="G320" s="1">
        <f t="shared" si="26"/>
        <v>1</v>
      </c>
      <c r="H320" s="1">
        <v>3</v>
      </c>
      <c r="I320" s="1">
        <v>470</v>
      </c>
      <c r="J320" s="88">
        <f t="shared" ref="J320:J326" si="27">I320*H320*G320</f>
        <v>1410</v>
      </c>
      <c r="K320" s="85"/>
    </row>
    <row r="321" customHeight="1" spans="1:12">
      <c r="A321" s="2" t="s">
        <v>674</v>
      </c>
      <c r="B321" s="2" t="s">
        <v>675</v>
      </c>
      <c r="C321" s="23" t="s">
        <v>53</v>
      </c>
      <c r="D321" s="134" t="s">
        <v>445</v>
      </c>
      <c r="E321" s="24">
        <v>45989</v>
      </c>
      <c r="F321" s="24">
        <v>45993</v>
      </c>
      <c r="G321" s="1">
        <f t="shared" si="26"/>
        <v>4</v>
      </c>
      <c r="H321" s="1">
        <v>1</v>
      </c>
      <c r="I321" s="1">
        <v>438</v>
      </c>
      <c r="J321" s="88">
        <f t="shared" si="27"/>
        <v>1752</v>
      </c>
      <c r="K321" s="11"/>
    </row>
    <row r="322" customHeight="1" spans="1:12">
      <c r="A322" s="1" t="s">
        <v>676</v>
      </c>
      <c r="B322" s="2"/>
      <c r="C322" s="23" t="s">
        <v>53</v>
      </c>
      <c r="D322" s="134" t="s">
        <v>445</v>
      </c>
      <c r="E322" s="24">
        <v>45989</v>
      </c>
      <c r="F322" s="24">
        <v>45993</v>
      </c>
      <c r="G322" s="1">
        <f t="shared" si="26"/>
        <v>4</v>
      </c>
      <c r="H322" s="1">
        <v>1</v>
      </c>
      <c r="I322" s="1">
        <v>438</v>
      </c>
      <c r="J322" s="88">
        <f t="shared" si="27"/>
        <v>1752</v>
      </c>
      <c r="K322" s="11"/>
    </row>
    <row r="323" customHeight="1" spans="1:12">
      <c r="A323" s="1" t="s">
        <v>677</v>
      </c>
      <c r="B323" s="2"/>
      <c r="C323" s="23" t="s">
        <v>53</v>
      </c>
      <c r="D323" s="2" t="s">
        <v>333</v>
      </c>
      <c r="E323" s="24">
        <v>45989</v>
      </c>
      <c r="F323" s="24">
        <v>45991</v>
      </c>
      <c r="G323" s="1">
        <f t="shared" si="26"/>
        <v>2</v>
      </c>
      <c r="H323" s="1">
        <v>1</v>
      </c>
      <c r="I323" s="1">
        <v>470</v>
      </c>
      <c r="J323" s="88">
        <f t="shared" si="27"/>
        <v>940</v>
      </c>
      <c r="K323" s="85"/>
    </row>
    <row r="324" customHeight="1" spans="1:12">
      <c r="A324" s="1" t="s">
        <v>678</v>
      </c>
      <c r="B324" s="1" t="s">
        <v>679</v>
      </c>
      <c r="C324" s="23" t="s">
        <v>53</v>
      </c>
      <c r="D324" s="134" t="s">
        <v>464</v>
      </c>
      <c r="E324" s="24">
        <v>45989</v>
      </c>
      <c r="F324" s="24">
        <v>45992</v>
      </c>
      <c r="G324" s="1">
        <f t="shared" si="26"/>
        <v>3</v>
      </c>
      <c r="H324" s="1">
        <v>2</v>
      </c>
      <c r="I324" s="1">
        <v>470</v>
      </c>
      <c r="J324" s="88">
        <f t="shared" si="27"/>
        <v>2820</v>
      </c>
      <c r="K324" s="11"/>
    </row>
    <row r="325" customHeight="1" spans="1:12">
      <c r="A325" s="2" t="s">
        <v>680</v>
      </c>
      <c r="B325" s="2" t="s">
        <v>681</v>
      </c>
      <c r="C325" s="23" t="s">
        <v>53</v>
      </c>
      <c r="D325" s="2" t="s">
        <v>242</v>
      </c>
      <c r="E325" s="24">
        <v>45988</v>
      </c>
      <c r="F325" s="24">
        <v>45990</v>
      </c>
      <c r="G325" s="1">
        <f t="shared" si="26"/>
        <v>2</v>
      </c>
      <c r="H325" s="1">
        <v>1</v>
      </c>
      <c r="I325" s="1">
        <v>470</v>
      </c>
      <c r="J325" s="88">
        <f t="shared" si="27"/>
        <v>940</v>
      </c>
      <c r="K325" s="11"/>
    </row>
    <row r="326" customHeight="1" spans="1:12">
      <c r="A326" s="1" t="s">
        <v>682</v>
      </c>
      <c r="B326" s="2"/>
      <c r="C326" s="23" t="s">
        <v>53</v>
      </c>
      <c r="D326" s="2" t="s">
        <v>242</v>
      </c>
      <c r="E326" s="24">
        <v>45989</v>
      </c>
      <c r="F326" s="24">
        <v>45991</v>
      </c>
      <c r="G326" s="1">
        <f t="shared" si="26"/>
        <v>2</v>
      </c>
      <c r="H326" s="1">
        <v>1</v>
      </c>
      <c r="I326" s="1">
        <v>470</v>
      </c>
      <c r="J326" s="88">
        <f t="shared" si="27"/>
        <v>940</v>
      </c>
      <c r="K326" s="11" t="s">
        <v>243</v>
      </c>
    </row>
    <row r="327" customHeight="1" spans="1:12">
      <c r="A327" s="28" t="s">
        <v>683</v>
      </c>
      <c r="B327" s="2"/>
      <c r="C327" s="23"/>
      <c r="D327" s="2"/>
      <c r="E327" s="24"/>
      <c r="F327" s="24"/>
      <c r="G327" s="1"/>
      <c r="H327" s="1"/>
      <c r="I327" s="1"/>
      <c r="J327" s="88"/>
      <c r="K327" s="85"/>
      <c r="L327" s="2"/>
    </row>
    <row r="328" customHeight="1" spans="1:12">
      <c r="A328" s="1" t="s">
        <v>684</v>
      </c>
      <c r="B328" s="2" t="s">
        <v>685</v>
      </c>
      <c r="C328" s="23" t="s">
        <v>53</v>
      </c>
      <c r="D328" s="2" t="s">
        <v>242</v>
      </c>
      <c r="E328" s="24">
        <v>45989</v>
      </c>
      <c r="F328" s="24">
        <v>45991</v>
      </c>
      <c r="G328" s="1">
        <f>F328-E328</f>
        <v>2</v>
      </c>
      <c r="H328" s="1">
        <v>1</v>
      </c>
      <c r="I328" s="1">
        <v>470</v>
      </c>
      <c r="J328" s="88">
        <f t="shared" ref="J328:J340" si="28">I328*H328*G328</f>
        <v>940</v>
      </c>
      <c r="K328" s="85" t="s">
        <v>243</v>
      </c>
      <c r="L328" s="2"/>
    </row>
    <row r="329" customHeight="1" spans="1:12">
      <c r="A329" s="1" t="s">
        <v>686</v>
      </c>
      <c r="B329" s="2" t="s">
        <v>687</v>
      </c>
      <c r="C329" s="2" t="s">
        <v>13</v>
      </c>
      <c r="D329" s="1" t="s">
        <v>229</v>
      </c>
      <c r="E329" s="24">
        <v>45989</v>
      </c>
      <c r="F329" s="24">
        <v>45991</v>
      </c>
      <c r="G329" s="1">
        <f>F329-E329</f>
        <v>2</v>
      </c>
      <c r="H329" s="1">
        <v>1</v>
      </c>
      <c r="I329" s="1">
        <v>540</v>
      </c>
      <c r="J329" s="1">
        <f t="shared" si="28"/>
        <v>1080</v>
      </c>
      <c r="K329" s="85"/>
    </row>
    <row r="330" customHeight="1" spans="1:12">
      <c r="A330" s="1" t="s">
        <v>688</v>
      </c>
      <c r="B330" s="2"/>
      <c r="C330" s="2"/>
      <c r="D330" s="1"/>
      <c r="E330" s="24"/>
      <c r="F330" s="24"/>
      <c r="G330" s="1">
        <v>2</v>
      </c>
      <c r="H330" s="1">
        <v>1</v>
      </c>
      <c r="I330" s="1">
        <v>540</v>
      </c>
      <c r="J330" s="1">
        <f t="shared" si="28"/>
        <v>1080</v>
      </c>
      <c r="K330" s="85"/>
    </row>
    <row r="331" customHeight="1" spans="1:12">
      <c r="A331" s="1" t="s">
        <v>689</v>
      </c>
      <c r="B331" s="2"/>
      <c r="C331" s="2"/>
      <c r="D331" s="1"/>
      <c r="E331" s="24"/>
      <c r="F331" s="24"/>
      <c r="G331" s="1">
        <v>2</v>
      </c>
      <c r="H331" s="1">
        <v>1</v>
      </c>
      <c r="I331" s="1">
        <v>540</v>
      </c>
      <c r="J331" s="1">
        <f t="shared" si="28"/>
        <v>1080</v>
      </c>
      <c r="K331" s="85"/>
    </row>
    <row r="332" customHeight="1" spans="1:12">
      <c r="A332" s="1" t="s">
        <v>690</v>
      </c>
      <c r="B332" s="2"/>
      <c r="C332" s="2"/>
      <c r="D332" s="1"/>
      <c r="E332" s="24"/>
      <c r="F332" s="24"/>
      <c r="G332" s="1">
        <v>2</v>
      </c>
      <c r="H332" s="1">
        <v>1</v>
      </c>
      <c r="I332" s="1">
        <v>540</v>
      </c>
      <c r="J332" s="1">
        <f t="shared" si="28"/>
        <v>1080</v>
      </c>
      <c r="K332" s="85"/>
    </row>
    <row r="333" customHeight="1" spans="1:12">
      <c r="A333" s="1" t="s">
        <v>691</v>
      </c>
      <c r="B333" s="2"/>
      <c r="C333" s="2"/>
      <c r="D333" s="1"/>
      <c r="E333" s="24"/>
      <c r="F333" s="24"/>
      <c r="G333" s="1">
        <v>2</v>
      </c>
      <c r="H333" s="1">
        <v>1</v>
      </c>
      <c r="I333" s="1">
        <v>540</v>
      </c>
      <c r="J333" s="1">
        <f t="shared" si="28"/>
        <v>1080</v>
      </c>
      <c r="K333" s="85"/>
    </row>
    <row r="334" customHeight="1" spans="1:12">
      <c r="A334" s="1" t="s">
        <v>692</v>
      </c>
      <c r="B334" s="2"/>
      <c r="C334" s="2"/>
      <c r="D334" s="1"/>
      <c r="E334" s="24"/>
      <c r="F334" s="24"/>
      <c r="G334" s="1">
        <v>2</v>
      </c>
      <c r="H334" s="1">
        <v>1</v>
      </c>
      <c r="I334" s="1">
        <v>540</v>
      </c>
      <c r="J334" s="1">
        <f t="shared" si="28"/>
        <v>1080</v>
      </c>
      <c r="K334" s="85"/>
    </row>
    <row r="335" customHeight="1" spans="1:12">
      <c r="A335" s="1" t="s">
        <v>693</v>
      </c>
      <c r="B335" s="2"/>
      <c r="C335" s="2"/>
      <c r="D335" s="1"/>
      <c r="E335" s="24"/>
      <c r="F335" s="24"/>
      <c r="G335" s="1">
        <v>2</v>
      </c>
      <c r="H335" s="1">
        <v>1</v>
      </c>
      <c r="I335" s="1">
        <v>540</v>
      </c>
      <c r="J335" s="1">
        <f t="shared" si="28"/>
        <v>1080</v>
      </c>
      <c r="K335" s="85"/>
    </row>
    <row r="336" customHeight="1" spans="1:12">
      <c r="A336" s="1" t="s">
        <v>694</v>
      </c>
      <c r="B336" s="2"/>
      <c r="C336" s="2"/>
      <c r="D336" s="1"/>
      <c r="E336" s="24"/>
      <c r="F336" s="24"/>
      <c r="G336" s="1">
        <v>2</v>
      </c>
      <c r="H336" s="1">
        <v>1</v>
      </c>
      <c r="I336" s="1">
        <v>540</v>
      </c>
      <c r="J336" s="1">
        <f t="shared" si="28"/>
        <v>1080</v>
      </c>
      <c r="K336" s="85"/>
    </row>
    <row r="337" customHeight="1" spans="1:11">
      <c r="A337" s="1" t="s">
        <v>695</v>
      </c>
      <c r="B337" s="2"/>
      <c r="C337" s="2"/>
      <c r="D337" s="1"/>
      <c r="E337" s="24"/>
      <c r="F337" s="24"/>
      <c r="G337" s="1">
        <v>2</v>
      </c>
      <c r="H337" s="1">
        <v>1</v>
      </c>
      <c r="I337" s="1">
        <v>540</v>
      </c>
      <c r="J337" s="1">
        <f t="shared" si="28"/>
        <v>1080</v>
      </c>
      <c r="K337" s="85"/>
    </row>
    <row r="338" customHeight="1" spans="1:11">
      <c r="A338" s="1" t="s">
        <v>696</v>
      </c>
      <c r="B338" s="2"/>
      <c r="C338" s="2"/>
      <c r="D338" s="1"/>
      <c r="E338" s="24"/>
      <c r="F338" s="24"/>
      <c r="G338" s="1">
        <v>2</v>
      </c>
      <c r="H338" s="1">
        <v>1</v>
      </c>
      <c r="I338" s="1">
        <v>540</v>
      </c>
      <c r="J338" s="1">
        <f t="shared" si="28"/>
        <v>1080</v>
      </c>
      <c r="K338" s="85"/>
    </row>
    <row r="339" customHeight="1" spans="1:11">
      <c r="A339" s="1" t="s">
        <v>697</v>
      </c>
      <c r="B339" s="2"/>
      <c r="C339" s="2"/>
      <c r="D339" s="1"/>
      <c r="E339" s="24"/>
      <c r="F339" s="24"/>
      <c r="G339" s="1">
        <v>2</v>
      </c>
      <c r="H339" s="1">
        <v>1</v>
      </c>
      <c r="I339" s="1">
        <v>540</v>
      </c>
      <c r="J339" s="1">
        <f t="shared" si="28"/>
        <v>1080</v>
      </c>
      <c r="K339" s="85"/>
    </row>
    <row r="340" customHeight="1" spans="1:11">
      <c r="A340" s="135" t="s">
        <v>698</v>
      </c>
      <c r="B340" s="2"/>
      <c r="C340" s="23" t="s">
        <v>53</v>
      </c>
      <c r="D340" s="2" t="s">
        <v>242</v>
      </c>
      <c r="E340" s="24">
        <v>45989</v>
      </c>
      <c r="F340" s="24">
        <v>45991</v>
      </c>
      <c r="G340" s="1">
        <f>F340-E340</f>
        <v>2</v>
      </c>
      <c r="H340" s="1">
        <v>1</v>
      </c>
      <c r="I340" s="1">
        <v>470</v>
      </c>
      <c r="J340" s="1">
        <f t="shared" si="28"/>
        <v>940</v>
      </c>
      <c r="K340" s="85"/>
    </row>
    <row r="341" customHeight="1" spans="1:11">
      <c r="A341" s="135" t="s">
        <v>699</v>
      </c>
      <c r="B341" s="2"/>
      <c r="C341" s="23"/>
      <c r="D341" s="2"/>
      <c r="E341" s="24"/>
      <c r="F341" s="24"/>
      <c r="G341" s="1"/>
      <c r="H341" s="1">
        <v>1</v>
      </c>
      <c r="I341" s="1">
        <v>470</v>
      </c>
      <c r="J341" s="1">
        <v>940</v>
      </c>
      <c r="K341" s="85"/>
    </row>
    <row r="342" customHeight="1" spans="1:11">
      <c r="A342" s="135" t="s">
        <v>700</v>
      </c>
      <c r="B342" s="2"/>
      <c r="C342" s="23"/>
      <c r="D342" s="2"/>
      <c r="E342" s="24"/>
      <c r="F342" s="24"/>
      <c r="G342" s="1"/>
      <c r="H342" s="1">
        <v>1</v>
      </c>
      <c r="I342" s="1">
        <v>470</v>
      </c>
      <c r="J342" s="1">
        <v>940</v>
      </c>
      <c r="K342" s="85"/>
    </row>
    <row r="343" customHeight="1" spans="1:11">
      <c r="A343" s="135" t="s">
        <v>701</v>
      </c>
      <c r="B343" s="2"/>
      <c r="C343" s="23"/>
      <c r="D343" s="2"/>
      <c r="E343" s="24"/>
      <c r="F343" s="24"/>
      <c r="G343" s="1"/>
      <c r="H343" s="1">
        <v>1</v>
      </c>
      <c r="I343" s="1">
        <v>470</v>
      </c>
      <c r="J343" s="1">
        <v>940</v>
      </c>
      <c r="K343" s="85"/>
    </row>
    <row r="344" customHeight="1" spans="1:11">
      <c r="A344" s="135" t="s">
        <v>702</v>
      </c>
      <c r="B344" s="2"/>
      <c r="C344" s="23"/>
      <c r="D344" s="2"/>
      <c r="E344" s="24"/>
      <c r="F344" s="24"/>
      <c r="G344" s="1"/>
      <c r="H344" s="1">
        <v>1</v>
      </c>
      <c r="I344" s="1">
        <v>470</v>
      </c>
      <c r="J344" s="1">
        <v>940</v>
      </c>
      <c r="K344" s="85"/>
    </row>
    <row r="345" customHeight="1" spans="1:11">
      <c r="A345" s="135" t="s">
        <v>703</v>
      </c>
      <c r="B345" s="2"/>
      <c r="C345" s="23"/>
      <c r="D345" s="2"/>
      <c r="E345" s="24"/>
      <c r="F345" s="24"/>
      <c r="G345" s="1"/>
      <c r="H345" s="1">
        <v>1</v>
      </c>
      <c r="I345" s="1">
        <v>470</v>
      </c>
      <c r="J345" s="1">
        <v>940</v>
      </c>
      <c r="K345" s="85"/>
    </row>
    <row r="346" customHeight="1" spans="1:11">
      <c r="A346" s="135" t="s">
        <v>704</v>
      </c>
      <c r="B346" s="2"/>
      <c r="C346" s="23"/>
      <c r="D346" s="2"/>
      <c r="E346" s="24"/>
      <c r="F346" s="24"/>
      <c r="G346" s="1"/>
      <c r="H346" s="1">
        <v>1</v>
      </c>
      <c r="I346" s="1">
        <v>470</v>
      </c>
      <c r="J346" s="1">
        <v>940</v>
      </c>
      <c r="K346" s="85"/>
    </row>
    <row r="347" customHeight="1" spans="1:11">
      <c r="A347" s="135" t="s">
        <v>705</v>
      </c>
      <c r="B347" s="2"/>
      <c r="C347" s="23"/>
      <c r="D347" s="2"/>
      <c r="E347" s="24"/>
      <c r="F347" s="24"/>
      <c r="G347" s="1"/>
      <c r="H347" s="1">
        <v>1</v>
      </c>
      <c r="I347" s="1">
        <v>470</v>
      </c>
      <c r="J347" s="1">
        <v>940</v>
      </c>
      <c r="K347" s="85"/>
    </row>
    <row r="348" customHeight="1" spans="1:11">
      <c r="A348" s="135" t="s">
        <v>706</v>
      </c>
      <c r="B348" s="2"/>
      <c r="C348" s="23"/>
      <c r="D348" s="2"/>
      <c r="E348" s="24"/>
      <c r="F348" s="24"/>
      <c r="G348" s="1"/>
      <c r="H348" s="1">
        <v>1</v>
      </c>
      <c r="I348" s="1">
        <v>470</v>
      </c>
      <c r="J348" s="1">
        <v>940</v>
      </c>
      <c r="K348" s="85"/>
    </row>
    <row r="349" customHeight="1" spans="1:11">
      <c r="A349" s="135" t="s">
        <v>707</v>
      </c>
      <c r="B349" s="2"/>
      <c r="C349" s="23"/>
      <c r="D349" s="2"/>
      <c r="E349" s="24"/>
      <c r="F349" s="24"/>
      <c r="G349" s="1"/>
      <c r="H349" s="1">
        <v>1</v>
      </c>
      <c r="I349" s="1">
        <v>470</v>
      </c>
      <c r="J349" s="1">
        <v>940</v>
      </c>
      <c r="K349" s="85"/>
    </row>
    <row r="350" customHeight="1" spans="1:11">
      <c r="A350" s="135" t="s">
        <v>708</v>
      </c>
      <c r="B350" s="2"/>
      <c r="C350" s="23"/>
      <c r="D350" s="2"/>
      <c r="E350" s="24"/>
      <c r="F350" s="24"/>
      <c r="G350" s="1"/>
      <c r="H350" s="1">
        <v>1</v>
      </c>
      <c r="I350" s="1">
        <v>470</v>
      </c>
      <c r="J350" s="1">
        <v>940</v>
      </c>
      <c r="K350" s="85"/>
    </row>
    <row r="351" customHeight="1" spans="1:11">
      <c r="A351" s="135" t="s">
        <v>709</v>
      </c>
      <c r="B351" s="2"/>
      <c r="C351" s="23"/>
      <c r="D351" s="2"/>
      <c r="E351" s="24"/>
      <c r="F351" s="24"/>
      <c r="G351" s="1"/>
      <c r="H351" s="1">
        <v>1</v>
      </c>
      <c r="I351" s="1">
        <v>470</v>
      </c>
      <c r="J351" s="1">
        <v>940</v>
      </c>
      <c r="K351" s="85"/>
    </row>
    <row r="352" customHeight="1" spans="1:11">
      <c r="A352" s="135" t="s">
        <v>710</v>
      </c>
      <c r="B352" s="2"/>
      <c r="C352" s="23"/>
      <c r="D352" s="2"/>
      <c r="E352" s="24"/>
      <c r="F352" s="24"/>
      <c r="G352" s="1"/>
      <c r="H352" s="1">
        <v>1</v>
      </c>
      <c r="I352" s="1">
        <v>470</v>
      </c>
      <c r="J352" s="1">
        <v>940</v>
      </c>
      <c r="K352" s="85"/>
    </row>
    <row r="353" customHeight="1" spans="1:11">
      <c r="A353" s="135" t="s">
        <v>711</v>
      </c>
      <c r="B353" s="2"/>
      <c r="C353" s="23"/>
      <c r="D353" s="2"/>
      <c r="E353" s="24"/>
      <c r="F353" s="24"/>
      <c r="G353" s="1"/>
      <c r="H353" s="1">
        <v>1</v>
      </c>
      <c r="I353" s="1">
        <v>470</v>
      </c>
      <c r="J353" s="1">
        <v>940</v>
      </c>
      <c r="K353" s="85"/>
    </row>
    <row r="354" customHeight="1" spans="1:11">
      <c r="A354" s="135" t="s">
        <v>712</v>
      </c>
      <c r="B354" s="2"/>
      <c r="C354" s="23"/>
      <c r="D354" s="2"/>
      <c r="E354" s="24"/>
      <c r="F354" s="24"/>
      <c r="G354" s="1"/>
      <c r="H354" s="1">
        <v>1</v>
      </c>
      <c r="I354" s="1">
        <v>470</v>
      </c>
      <c r="J354" s="1">
        <v>940</v>
      </c>
      <c r="K354" s="85"/>
    </row>
    <row r="355" customHeight="1" spans="1:11">
      <c r="A355" s="135" t="s">
        <v>713</v>
      </c>
      <c r="B355" s="2"/>
      <c r="C355" s="23"/>
      <c r="D355" s="2"/>
      <c r="E355" s="24"/>
      <c r="F355" s="24"/>
      <c r="G355" s="1"/>
      <c r="H355" s="1">
        <v>1</v>
      </c>
      <c r="I355" s="1">
        <v>470</v>
      </c>
      <c r="J355" s="1">
        <v>940</v>
      </c>
      <c r="K355" s="85"/>
    </row>
    <row r="356" customHeight="1" spans="1:11">
      <c r="A356" s="135" t="s">
        <v>714</v>
      </c>
      <c r="B356" s="2"/>
      <c r="C356" s="23"/>
      <c r="D356" s="2"/>
      <c r="E356" s="24"/>
      <c r="F356" s="24"/>
      <c r="G356" s="1"/>
      <c r="H356" s="1">
        <v>1</v>
      </c>
      <c r="I356" s="1">
        <v>470</v>
      </c>
      <c r="J356" s="1">
        <v>940</v>
      </c>
      <c r="K356" s="85"/>
    </row>
    <row r="357" customHeight="1" spans="1:11">
      <c r="A357" s="1" t="s">
        <v>715</v>
      </c>
      <c r="B357" s="2"/>
      <c r="C357" s="2" t="s">
        <v>13</v>
      </c>
      <c r="D357" s="2" t="s">
        <v>229</v>
      </c>
      <c r="E357" s="24">
        <v>45989</v>
      </c>
      <c r="F357" s="24">
        <v>45991</v>
      </c>
      <c r="G357" s="1">
        <v>2</v>
      </c>
      <c r="H357" s="1">
        <v>1</v>
      </c>
      <c r="I357" s="1">
        <v>540</v>
      </c>
      <c r="J357" s="1">
        <f>I357*H357*G357</f>
        <v>1080</v>
      </c>
      <c r="K357" s="85"/>
    </row>
    <row r="358" customHeight="1" spans="1:11">
      <c r="A358" s="1" t="s">
        <v>716</v>
      </c>
      <c r="B358" s="2"/>
      <c r="C358" s="2"/>
      <c r="D358" s="2"/>
      <c r="E358" s="24"/>
      <c r="F358" s="24"/>
      <c r="G358" s="1"/>
      <c r="H358" s="1">
        <v>1</v>
      </c>
      <c r="I358" s="1">
        <v>540</v>
      </c>
      <c r="J358" s="1">
        <f>I358*H358*G357</f>
        <v>1080</v>
      </c>
      <c r="K358" s="85"/>
    </row>
    <row r="359" customHeight="1" spans="1:11">
      <c r="A359" s="1" t="s">
        <v>717</v>
      </c>
      <c r="B359" s="2"/>
      <c r="C359" s="2"/>
      <c r="D359" s="2"/>
      <c r="E359" s="24"/>
      <c r="F359" s="24"/>
      <c r="G359" s="1"/>
      <c r="H359" s="1">
        <v>1</v>
      </c>
      <c r="I359" s="1">
        <v>540</v>
      </c>
      <c r="J359" s="1">
        <f>I359*H359*G357</f>
        <v>1080</v>
      </c>
      <c r="K359" s="85"/>
    </row>
    <row r="360" customHeight="1" spans="1:11">
      <c r="A360" s="18" t="s">
        <v>718</v>
      </c>
      <c r="B360" s="104" t="s">
        <v>564</v>
      </c>
      <c r="C360" s="23" t="s">
        <v>53</v>
      </c>
      <c r="D360" s="134" t="s">
        <v>464</v>
      </c>
      <c r="E360" s="24">
        <v>45990</v>
      </c>
      <c r="F360" s="24">
        <v>45992</v>
      </c>
      <c r="G360" s="1">
        <f>F360-E360</f>
        <v>2</v>
      </c>
      <c r="H360" s="1">
        <v>2</v>
      </c>
      <c r="I360" s="1">
        <v>470</v>
      </c>
      <c r="J360" s="88">
        <f>I360*H360*G360</f>
        <v>1880</v>
      </c>
      <c r="K360" s="85" t="s">
        <v>243</v>
      </c>
    </row>
    <row r="361" customHeight="1" spans="1:11">
      <c r="A361" s="1" t="s">
        <v>719</v>
      </c>
      <c r="B361" s="104"/>
      <c r="C361" s="23" t="s">
        <v>30</v>
      </c>
      <c r="D361" s="99" t="s">
        <v>153</v>
      </c>
      <c r="E361" s="24">
        <v>45989</v>
      </c>
      <c r="F361" s="24">
        <v>45992</v>
      </c>
      <c r="G361" s="1">
        <f>F361-E361</f>
        <v>3</v>
      </c>
      <c r="H361" s="1">
        <v>1</v>
      </c>
      <c r="I361" s="1">
        <v>470</v>
      </c>
      <c r="J361" s="88">
        <f>I361*H361*G361</f>
        <v>1410</v>
      </c>
      <c r="K361" s="85" t="s">
        <v>243</v>
      </c>
    </row>
    <row r="362" customHeight="1" spans="1:11">
      <c r="A362" s="18" t="s">
        <v>720</v>
      </c>
      <c r="B362" s="104" t="s">
        <v>721</v>
      </c>
      <c r="C362" s="104" t="s">
        <v>10</v>
      </c>
      <c r="D362" s="18" t="s">
        <v>229</v>
      </c>
      <c r="E362" s="24">
        <v>45989</v>
      </c>
      <c r="F362" s="24">
        <v>45991</v>
      </c>
      <c r="G362" s="1">
        <f>F362-E362</f>
        <v>2</v>
      </c>
      <c r="H362" s="1">
        <v>1</v>
      </c>
      <c r="I362" s="1">
        <v>470</v>
      </c>
      <c r="J362" s="1">
        <f>I362*G362*H362</f>
        <v>940</v>
      </c>
      <c r="K362" s="85" t="s">
        <v>243</v>
      </c>
    </row>
    <row r="363" customHeight="1" spans="1:11">
      <c r="A363" s="18" t="s">
        <v>722</v>
      </c>
      <c r="B363" s="104" t="s">
        <v>723</v>
      </c>
      <c r="C363" s="18" t="s">
        <v>53</v>
      </c>
      <c r="D363" s="104" t="s">
        <v>229</v>
      </c>
      <c r="E363" s="24">
        <v>45989</v>
      </c>
      <c r="F363" s="24">
        <v>45991</v>
      </c>
      <c r="G363" s="1">
        <f>F363-E363</f>
        <v>2</v>
      </c>
      <c r="H363" s="1">
        <v>1</v>
      </c>
      <c r="I363" s="1">
        <v>438</v>
      </c>
      <c r="J363" s="1">
        <f>G363*H363*I363</f>
        <v>876</v>
      </c>
      <c r="K363" s="85" t="s">
        <v>243</v>
      </c>
    </row>
    <row r="364" customHeight="1" spans="1:11">
      <c r="A364" s="18" t="s">
        <v>724</v>
      </c>
      <c r="B364" s="104" t="s">
        <v>725</v>
      </c>
      <c r="C364" s="23" t="s">
        <v>53</v>
      </c>
      <c r="D364" s="99" t="s">
        <v>229</v>
      </c>
      <c r="E364" s="24">
        <v>45989</v>
      </c>
      <c r="F364" s="24">
        <v>45991</v>
      </c>
      <c r="G364" s="1">
        <f>F364-E364</f>
        <v>2</v>
      </c>
      <c r="H364" s="1">
        <v>1</v>
      </c>
      <c r="I364" s="1">
        <v>438</v>
      </c>
      <c r="J364" s="1">
        <f>G364*H364*I364</f>
        <v>876</v>
      </c>
      <c r="K364" s="85" t="s">
        <v>243</v>
      </c>
    </row>
    <row r="365" customHeight="1" spans="1:11">
      <c r="A365" s="18"/>
      <c r="B365" s="18"/>
      <c r="C365" s="136"/>
      <c r="D365" s="136"/>
      <c r="E365" s="24"/>
      <c r="F365" s="2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365" etc:filterBottomFollowUsedRange="1">
    <extLst/>
  </autoFilter>
  <mergeCells count="106">
    <mergeCell ref="A1:K1"/>
    <mergeCell ref="A20:A21"/>
    <mergeCell ref="A34:A35"/>
    <mergeCell ref="A88:A89"/>
    <mergeCell ref="A142:A145"/>
    <mergeCell ref="A146:A147"/>
    <mergeCell ref="A148:A149"/>
    <mergeCell ref="A218:A220"/>
    <mergeCell ref="A235:A236"/>
    <mergeCell ref="B3:B5"/>
    <mergeCell ref="B11:B13"/>
    <mergeCell ref="B22:B30"/>
    <mergeCell ref="B61:B62"/>
    <mergeCell ref="B88:B89"/>
    <mergeCell ref="B92:B94"/>
    <mergeCell ref="B95:B100"/>
    <mergeCell ref="B101:B122"/>
    <mergeCell ref="B123:B125"/>
    <mergeCell ref="B127:B130"/>
    <mergeCell ref="B131:B135"/>
    <mergeCell ref="B138:B140"/>
    <mergeCell ref="B142:B151"/>
    <mergeCell ref="B159:B161"/>
    <mergeCell ref="B162:B165"/>
    <mergeCell ref="B166:B167"/>
    <mergeCell ref="B168:B186"/>
    <mergeCell ref="B189:B212"/>
    <mergeCell ref="B213:B217"/>
    <mergeCell ref="B218:B220"/>
    <mergeCell ref="B222:B223"/>
    <mergeCell ref="B229:B230"/>
    <mergeCell ref="B231:B232"/>
    <mergeCell ref="B233:B234"/>
    <mergeCell ref="B235:B236"/>
    <mergeCell ref="B241:B249"/>
    <mergeCell ref="B251:B258"/>
    <mergeCell ref="B259:B261"/>
    <mergeCell ref="B266:B272"/>
    <mergeCell ref="B278:B280"/>
    <mergeCell ref="B289:B291"/>
    <mergeCell ref="B299:B300"/>
    <mergeCell ref="B302:B305"/>
    <mergeCell ref="B314:B316"/>
    <mergeCell ref="B321:B323"/>
    <mergeCell ref="B325:B326"/>
    <mergeCell ref="B329:B359"/>
    <mergeCell ref="B360:B361"/>
    <mergeCell ref="C3:C5"/>
    <mergeCell ref="C101:C122"/>
    <mergeCell ref="C138:C140"/>
    <mergeCell ref="C142:C145"/>
    <mergeCell ref="C146:C147"/>
    <mergeCell ref="C189:C212"/>
    <mergeCell ref="C213:C214"/>
    <mergeCell ref="C215:C217"/>
    <mergeCell ref="C218:C220"/>
    <mergeCell ref="C229:C230"/>
    <mergeCell ref="C299:C300"/>
    <mergeCell ref="C329:C339"/>
    <mergeCell ref="C340:C356"/>
    <mergeCell ref="C357:C359"/>
    <mergeCell ref="D3:D5"/>
    <mergeCell ref="D189:D212"/>
    <mergeCell ref="D213:D217"/>
    <mergeCell ref="D218:D219"/>
    <mergeCell ref="D299:D300"/>
    <mergeCell ref="D329:D339"/>
    <mergeCell ref="D340:D356"/>
    <mergeCell ref="D357:D359"/>
    <mergeCell ref="E299:E300"/>
    <mergeCell ref="E329:E339"/>
    <mergeCell ref="E340:E356"/>
    <mergeCell ref="E357:E359"/>
    <mergeCell ref="F299:F300"/>
    <mergeCell ref="F329:F339"/>
    <mergeCell ref="F340:F356"/>
    <mergeCell ref="F357:F359"/>
    <mergeCell ref="G299:G300"/>
    <mergeCell ref="G340:G356"/>
    <mergeCell ref="G357:G359"/>
    <mergeCell ref="H299:H300"/>
    <mergeCell ref="I299:I300"/>
    <mergeCell ref="J299:J300"/>
    <mergeCell ref="K20:K21"/>
    <mergeCell ref="K22:K29"/>
    <mergeCell ref="K32:K48"/>
    <mergeCell ref="K59:K60"/>
    <mergeCell ref="K61:K63"/>
    <mergeCell ref="K64:K70"/>
    <mergeCell ref="K73:K74"/>
    <mergeCell ref="K86:K87"/>
    <mergeCell ref="K101:K122"/>
    <mergeCell ref="K127:K130"/>
    <mergeCell ref="K138:K140"/>
    <mergeCell ref="K142:K151"/>
    <mergeCell ref="K159:K161"/>
    <mergeCell ref="K162:K165"/>
    <mergeCell ref="K169:K186"/>
    <mergeCell ref="K189:K217"/>
    <mergeCell ref="K218:K220"/>
    <mergeCell ref="K251:K258"/>
    <mergeCell ref="K278:K280"/>
    <mergeCell ref="K289:K291"/>
    <mergeCell ref="K302:K317"/>
    <mergeCell ref="K319:K325"/>
    <mergeCell ref="K328:K359"/>
  </mergeCells>
  <pageMargins left="0.7" right="0.7" top="0.75" bottom="0.75" header="0.3" footer="0.3"/>
  <pageSetup paperSize="9" scale="6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15" workbookViewId="0">
      <selection activeCell="A15" sqref="$A15:$XFD15"/>
    </sheetView>
  </sheetViews>
  <sheetFormatPr defaultColWidth="9" defaultRowHeight="13.5"/>
  <cols>
    <col min="1" max="1" width="5.5" style="1" customWidth="1"/>
    <col min="2" max="2" width="14.625" style="1" customWidth="1"/>
    <col min="3" max="3" width="26.3416666666667" style="1" customWidth="1"/>
    <col min="4" max="4" width="12.1416666666667" customWidth="1"/>
    <col min="5" max="5" width="26.9083333333333" customWidth="1"/>
    <col min="6" max="6" width="15.9083333333333" hidden="1" customWidth="1"/>
    <col min="7" max="7" width="22.0916666666667" customWidth="1"/>
    <col min="8" max="8" width="31.625" customWidth="1"/>
    <col min="9" max="9" width="11.3666666666667" customWidth="1"/>
    <col min="10" max="10" width="10.2666666666667" customWidth="1"/>
    <col min="14" max="14" width="10.2666666666667" customWidth="1"/>
    <col min="15" max="15" width="29.9083333333333" customWidth="1"/>
    <col min="16" max="16" width="21.0916666666667" customWidth="1"/>
  </cols>
  <sheetData>
    <row r="1" ht="20.25" spans="1:16">
      <c r="A1" s="16" t="s">
        <v>726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19"/>
      <c r="O2" s="18"/>
      <c r="P2" s="18"/>
    </row>
    <row r="3" ht="42.75" customHeight="1" spans="1:16">
      <c r="A3" s="20" t="s">
        <v>1</v>
      </c>
      <c r="B3" s="20" t="s">
        <v>727</v>
      </c>
      <c r="C3" s="20" t="s">
        <v>728</v>
      </c>
      <c r="D3" s="20" t="s">
        <v>729</v>
      </c>
      <c r="E3" s="20" t="s">
        <v>730</v>
      </c>
      <c r="F3" s="20" t="s">
        <v>731</v>
      </c>
      <c r="G3" s="20" t="s">
        <v>200</v>
      </c>
      <c r="H3" s="20" t="s">
        <v>41</v>
      </c>
      <c r="I3" s="20" t="s">
        <v>201</v>
      </c>
      <c r="J3" s="20" t="s">
        <v>202</v>
      </c>
      <c r="K3" s="20" t="s">
        <v>203</v>
      </c>
      <c r="L3" s="21" t="s">
        <v>204</v>
      </c>
      <c r="M3" s="22" t="s">
        <v>205</v>
      </c>
      <c r="N3" s="22" t="s">
        <v>206</v>
      </c>
      <c r="O3" s="20" t="s">
        <v>46</v>
      </c>
      <c r="P3" s="20" t="s">
        <v>732</v>
      </c>
    </row>
    <row r="4" spans="1:16">
      <c r="A4" s="23">
        <v>1</v>
      </c>
      <c r="B4" s="23" t="s">
        <v>733</v>
      </c>
      <c r="C4" s="23" t="s">
        <v>733</v>
      </c>
      <c r="D4" s="23">
        <v>13466371647</v>
      </c>
      <c r="E4" s="23" t="s">
        <v>734</v>
      </c>
      <c r="F4" s="23" t="s">
        <v>735</v>
      </c>
      <c r="G4" s="23" t="s">
        <v>10</v>
      </c>
      <c r="H4" s="23" t="s">
        <v>229</v>
      </c>
      <c r="I4" s="24">
        <v>45989</v>
      </c>
      <c r="J4" s="24">
        <v>45993</v>
      </c>
      <c r="K4" s="23">
        <v>4</v>
      </c>
      <c r="L4" s="23">
        <v>1</v>
      </c>
      <c r="M4" s="25">
        <v>470</v>
      </c>
      <c r="N4" s="25">
        <v>1880</v>
      </c>
      <c r="O4" s="23" t="s">
        <v>345</v>
      </c>
      <c r="P4" s="23" t="s">
        <v>736</v>
      </c>
    </row>
    <row r="5" spans="1:16">
      <c r="A5" s="23">
        <v>2</v>
      </c>
      <c r="B5" s="23" t="s">
        <v>737</v>
      </c>
      <c r="C5" s="23" t="s">
        <v>534</v>
      </c>
      <c r="D5" s="23">
        <v>14714315819</v>
      </c>
      <c r="E5" s="26" t="s">
        <v>534</v>
      </c>
      <c r="F5" s="23" t="s">
        <v>738</v>
      </c>
      <c r="G5" s="23" t="s">
        <v>10</v>
      </c>
      <c r="H5" s="23" t="s">
        <v>229</v>
      </c>
      <c r="I5" s="24">
        <v>45989</v>
      </c>
      <c r="J5" s="24">
        <v>45993</v>
      </c>
      <c r="K5" s="23">
        <v>4</v>
      </c>
      <c r="L5" s="23">
        <v>1</v>
      </c>
      <c r="M5" s="25">
        <v>470</v>
      </c>
      <c r="N5" s="25">
        <v>1880</v>
      </c>
      <c r="O5" s="23"/>
      <c r="P5" s="23" t="s">
        <v>736</v>
      </c>
    </row>
    <row r="6" spans="1:16">
      <c r="A6" s="23">
        <v>3</v>
      </c>
      <c r="B6" s="23" t="s">
        <v>739</v>
      </c>
      <c r="C6" s="23" t="s">
        <v>740</v>
      </c>
      <c r="D6" s="23">
        <v>17868746908</v>
      </c>
      <c r="E6" s="23" t="s">
        <v>741</v>
      </c>
      <c r="F6" s="23" t="s">
        <v>742</v>
      </c>
      <c r="G6" s="23" t="s">
        <v>16</v>
      </c>
      <c r="H6" s="23" t="s">
        <v>153</v>
      </c>
      <c r="I6" s="24">
        <v>45988</v>
      </c>
      <c r="J6" s="24">
        <v>45994</v>
      </c>
      <c r="K6" s="23">
        <v>6</v>
      </c>
      <c r="L6" s="23">
        <v>1</v>
      </c>
      <c r="M6" s="25">
        <v>200</v>
      </c>
      <c r="N6" s="25">
        <v>1200</v>
      </c>
      <c r="O6" s="23"/>
      <c r="P6" s="23" t="s">
        <v>743</v>
      </c>
    </row>
    <row r="7" spans="1:16">
      <c r="A7" s="23">
        <v>4</v>
      </c>
      <c r="B7" s="23" t="s">
        <v>744</v>
      </c>
      <c r="C7" s="23" t="s">
        <v>745</v>
      </c>
      <c r="D7" s="23">
        <v>13430392474</v>
      </c>
      <c r="E7" s="23" t="s">
        <v>536</v>
      </c>
      <c r="F7" s="23" t="s">
        <v>746</v>
      </c>
      <c r="G7" s="27" t="s">
        <v>10</v>
      </c>
      <c r="H7" s="28" t="s">
        <v>747</v>
      </c>
      <c r="I7" s="24">
        <v>45989</v>
      </c>
      <c r="J7" s="24">
        <v>45992</v>
      </c>
      <c r="K7" s="23">
        <v>3</v>
      </c>
      <c r="L7" s="27">
        <v>1</v>
      </c>
      <c r="M7" s="25">
        <v>470</v>
      </c>
      <c r="N7" s="25">
        <v>1410</v>
      </c>
      <c r="O7" s="23" t="s">
        <v>748</v>
      </c>
      <c r="P7" s="23" t="s">
        <v>743</v>
      </c>
    </row>
    <row r="8" spans="1:16">
      <c r="A8" s="23">
        <v>5</v>
      </c>
      <c r="B8" s="23" t="s">
        <v>749</v>
      </c>
      <c r="C8" s="23" t="s">
        <v>749</v>
      </c>
      <c r="D8" s="23">
        <v>15010132107</v>
      </c>
      <c r="E8" s="27" t="s">
        <v>750</v>
      </c>
      <c r="F8" s="23" t="s">
        <v>751</v>
      </c>
      <c r="G8" s="23" t="s">
        <v>10</v>
      </c>
      <c r="H8" s="23" t="s">
        <v>229</v>
      </c>
      <c r="I8" s="24">
        <v>45989</v>
      </c>
      <c r="J8" s="24">
        <v>45993</v>
      </c>
      <c r="K8" s="23">
        <v>4</v>
      </c>
      <c r="L8" s="23">
        <v>2</v>
      </c>
      <c r="M8" s="25">
        <v>470</v>
      </c>
      <c r="N8" s="25">
        <v>3760</v>
      </c>
      <c r="O8" s="23"/>
      <c r="P8" s="23" t="s">
        <v>736</v>
      </c>
    </row>
    <row r="9" spans="1:16">
      <c r="A9" s="23">
        <v>6</v>
      </c>
      <c r="B9" s="23" t="s">
        <v>752</v>
      </c>
      <c r="C9" s="23" t="s">
        <v>559</v>
      </c>
      <c r="D9" s="23">
        <v>18569509240</v>
      </c>
      <c r="E9" s="27" t="s">
        <v>559</v>
      </c>
      <c r="F9" s="23" t="s">
        <v>753</v>
      </c>
      <c r="G9" s="23" t="s">
        <v>53</v>
      </c>
      <c r="H9" s="23" t="s">
        <v>229</v>
      </c>
      <c r="I9" s="24">
        <v>45989</v>
      </c>
      <c r="J9" s="24">
        <v>45994</v>
      </c>
      <c r="K9" s="23">
        <v>5</v>
      </c>
      <c r="L9" s="23">
        <v>1</v>
      </c>
      <c r="M9" s="25">
        <v>438</v>
      </c>
      <c r="N9" s="25">
        <v>2190</v>
      </c>
      <c r="O9" s="23"/>
      <c r="P9" s="23" t="s">
        <v>736</v>
      </c>
    </row>
    <row r="10" spans="1:16">
      <c r="A10" s="23">
        <v>7</v>
      </c>
      <c r="B10" s="23" t="s">
        <v>754</v>
      </c>
      <c r="C10" s="23" t="s">
        <v>755</v>
      </c>
      <c r="D10" s="23">
        <v>18565359691</v>
      </c>
      <c r="E10" s="26" t="s">
        <v>541</v>
      </c>
      <c r="F10" s="23">
        <v>56662970</v>
      </c>
      <c r="G10" s="23" t="s">
        <v>53</v>
      </c>
      <c r="H10" s="23" t="s">
        <v>229</v>
      </c>
      <c r="I10" s="24">
        <v>45989</v>
      </c>
      <c r="J10" s="24">
        <v>45993</v>
      </c>
      <c r="K10" s="23">
        <v>4</v>
      </c>
      <c r="L10" s="23">
        <v>1</v>
      </c>
      <c r="M10" s="25">
        <v>438</v>
      </c>
      <c r="N10" s="25">
        <v>1752</v>
      </c>
      <c r="O10" s="23"/>
      <c r="P10" s="23"/>
    </row>
    <row r="11" spans="1:16">
      <c r="A11" s="23">
        <v>8</v>
      </c>
      <c r="B11" s="23" t="s">
        <v>752</v>
      </c>
      <c r="C11" s="23" t="s">
        <v>756</v>
      </c>
      <c r="D11" s="23">
        <v>17768103485</v>
      </c>
      <c r="E11" s="26" t="s">
        <v>546</v>
      </c>
      <c r="F11" s="23" t="s">
        <v>757</v>
      </c>
      <c r="G11" s="23" t="s">
        <v>53</v>
      </c>
      <c r="H11" s="23" t="s">
        <v>229</v>
      </c>
      <c r="I11" s="29">
        <v>45989</v>
      </c>
      <c r="J11" s="29">
        <v>45993</v>
      </c>
      <c r="K11" s="23">
        <v>4</v>
      </c>
      <c r="L11" s="23">
        <v>1</v>
      </c>
      <c r="M11" s="25">
        <v>438</v>
      </c>
      <c r="N11" s="25">
        <v>1752</v>
      </c>
      <c r="O11" s="23" t="s">
        <v>758</v>
      </c>
      <c r="P11" s="23" t="s">
        <v>736</v>
      </c>
    </row>
    <row r="12" spans="1:16">
      <c r="A12" s="30">
        <v>9</v>
      </c>
      <c r="B12" s="30" t="s">
        <v>759</v>
      </c>
      <c r="C12" s="30" t="s">
        <v>760</v>
      </c>
      <c r="D12" s="30">
        <v>18810982539</v>
      </c>
      <c r="E12" s="31" t="s">
        <v>761</v>
      </c>
      <c r="F12" s="30" t="s">
        <v>762</v>
      </c>
      <c r="G12" s="30" t="s">
        <v>10</v>
      </c>
      <c r="H12" s="30" t="s">
        <v>229</v>
      </c>
      <c r="I12" s="32">
        <v>45989</v>
      </c>
      <c r="J12" s="32">
        <v>45992</v>
      </c>
      <c r="K12" s="30">
        <v>3</v>
      </c>
      <c r="L12" s="30">
        <v>1</v>
      </c>
      <c r="M12" s="33">
        <v>470</v>
      </c>
      <c r="N12" s="33">
        <v>1410</v>
      </c>
      <c r="O12" s="30" t="s">
        <v>763</v>
      </c>
      <c r="P12" s="30" t="s">
        <v>743</v>
      </c>
    </row>
    <row r="13" ht="27" spans="1:16">
      <c r="A13" s="23">
        <v>10</v>
      </c>
      <c r="B13" s="23" t="s">
        <v>764</v>
      </c>
      <c r="C13" s="23" t="s">
        <v>765</v>
      </c>
      <c r="D13" s="23">
        <v>18342207307</v>
      </c>
      <c r="E13" s="26" t="s">
        <v>548</v>
      </c>
      <c r="F13" s="23" t="s">
        <v>766</v>
      </c>
      <c r="G13" s="23" t="s">
        <v>53</v>
      </c>
      <c r="H13" s="34" t="s">
        <v>767</v>
      </c>
      <c r="I13" s="24">
        <v>45989</v>
      </c>
      <c r="J13" s="24">
        <v>45994</v>
      </c>
      <c r="K13" s="23">
        <v>5</v>
      </c>
      <c r="L13" s="23">
        <v>1</v>
      </c>
      <c r="M13" s="25">
        <v>470</v>
      </c>
      <c r="N13" s="25">
        <v>2350</v>
      </c>
      <c r="O13" s="23"/>
      <c r="P13" s="23"/>
    </row>
    <row r="14" spans="1:16">
      <c r="A14" s="23">
        <v>11</v>
      </c>
      <c r="B14" s="23" t="s">
        <v>340</v>
      </c>
      <c r="C14" s="23" t="s">
        <v>768</v>
      </c>
      <c r="D14" s="23">
        <v>13051706665</v>
      </c>
      <c r="E14" s="23" t="s">
        <v>550</v>
      </c>
      <c r="F14" s="23">
        <v>547817624</v>
      </c>
      <c r="G14" s="27" t="s">
        <v>10</v>
      </c>
      <c r="H14" s="28" t="s">
        <v>747</v>
      </c>
      <c r="I14" s="29">
        <v>45989</v>
      </c>
      <c r="J14" s="24">
        <v>45993</v>
      </c>
      <c r="K14" s="23">
        <v>4</v>
      </c>
      <c r="L14" s="27">
        <v>1</v>
      </c>
      <c r="M14" s="25">
        <v>470</v>
      </c>
      <c r="N14" s="25">
        <v>1880</v>
      </c>
      <c r="O14" s="23"/>
      <c r="P14" s="23" t="s">
        <v>736</v>
      </c>
    </row>
    <row r="15" spans="1:16">
      <c r="A15" s="23">
        <v>12</v>
      </c>
      <c r="B15" s="23" t="s">
        <v>744</v>
      </c>
      <c r="C15" s="23" t="s">
        <v>745</v>
      </c>
      <c r="D15" s="23">
        <v>13430392474</v>
      </c>
      <c r="E15" s="23" t="s">
        <v>539</v>
      </c>
      <c r="F15" s="23" t="s">
        <v>769</v>
      </c>
      <c r="G15" s="27" t="s">
        <v>10</v>
      </c>
      <c r="H15" s="28" t="s">
        <v>747</v>
      </c>
      <c r="I15" s="29">
        <v>45989</v>
      </c>
      <c r="J15" s="24">
        <v>45992</v>
      </c>
      <c r="K15" s="23">
        <v>3</v>
      </c>
      <c r="L15" s="27">
        <v>1</v>
      </c>
      <c r="M15" s="25">
        <v>470</v>
      </c>
      <c r="N15" s="25">
        <v>1410</v>
      </c>
      <c r="O15" s="23" t="s">
        <v>770</v>
      </c>
      <c r="P15" s="23" t="s">
        <v>771</v>
      </c>
    </row>
    <row r="16" spans="1:16">
      <c r="A16" s="23">
        <v>13</v>
      </c>
      <c r="B16" s="23" t="s">
        <v>772</v>
      </c>
      <c r="C16" s="23" t="s">
        <v>773</v>
      </c>
      <c r="D16" s="23">
        <v>13910740863</v>
      </c>
      <c r="E16" s="23" t="s">
        <v>551</v>
      </c>
      <c r="F16" s="23">
        <v>758939538</v>
      </c>
      <c r="G16" s="27" t="s">
        <v>10</v>
      </c>
      <c r="H16" s="28" t="s">
        <v>747</v>
      </c>
      <c r="I16" s="29">
        <v>45989</v>
      </c>
      <c r="J16" s="24">
        <v>45992</v>
      </c>
      <c r="K16" s="23">
        <v>3</v>
      </c>
      <c r="L16" s="27">
        <v>2</v>
      </c>
      <c r="M16" s="25">
        <v>470</v>
      </c>
      <c r="N16" s="25">
        <v>2820</v>
      </c>
      <c r="O16" s="34" t="s">
        <v>774</v>
      </c>
      <c r="P16" s="23" t="s">
        <v>736</v>
      </c>
    </row>
    <row r="17" spans="1:16">
      <c r="A17" s="23"/>
      <c r="B17" s="23"/>
      <c r="C17" s="23"/>
      <c r="D17" s="23"/>
      <c r="E17" s="23"/>
      <c r="F17" s="23"/>
      <c r="G17" s="27"/>
      <c r="H17" s="27" t="s">
        <v>248</v>
      </c>
      <c r="I17" s="29">
        <v>45989</v>
      </c>
      <c r="J17" s="24">
        <v>45992</v>
      </c>
      <c r="K17" s="23">
        <v>3</v>
      </c>
      <c r="L17" s="27">
        <v>1</v>
      </c>
      <c r="M17" s="25">
        <v>470</v>
      </c>
      <c r="N17" s="25">
        <v>1410</v>
      </c>
      <c r="O17" s="34"/>
      <c r="P17" s="23"/>
    </row>
    <row r="18" ht="68.25" customHeight="1" spans="1:16">
      <c r="A18" s="35">
        <v>14</v>
      </c>
      <c r="B18" s="35" t="s">
        <v>754</v>
      </c>
      <c r="C18" s="35" t="s">
        <v>755</v>
      </c>
      <c r="D18" s="35">
        <v>18565359691</v>
      </c>
      <c r="E18" s="36" t="s">
        <v>775</v>
      </c>
      <c r="F18" s="35" t="s">
        <v>776</v>
      </c>
      <c r="G18" s="35" t="s">
        <v>53</v>
      </c>
      <c r="H18" s="35" t="s">
        <v>229</v>
      </c>
      <c r="I18" s="37">
        <v>45989</v>
      </c>
      <c r="J18" s="38">
        <v>45993</v>
      </c>
      <c r="K18" s="35">
        <v>4</v>
      </c>
      <c r="L18" s="35">
        <v>1</v>
      </c>
      <c r="M18" s="39">
        <v>438</v>
      </c>
      <c r="N18" s="39">
        <v>1752</v>
      </c>
      <c r="O18" s="40" t="s">
        <v>777</v>
      </c>
      <c r="P18" s="35" t="s">
        <v>771</v>
      </c>
    </row>
    <row r="19" spans="1:16">
      <c r="A19" s="1">
        <v>15</v>
      </c>
      <c r="B19" s="1" t="s">
        <v>778</v>
      </c>
      <c r="C19" s="1" t="s">
        <v>778</v>
      </c>
      <c r="D19">
        <v>18810153826</v>
      </c>
      <c r="E19" s="41" t="s">
        <v>555</v>
      </c>
      <c r="F19">
        <v>131183487</v>
      </c>
      <c r="G19" t="s">
        <v>53</v>
      </c>
      <c r="H19" t="s">
        <v>229</v>
      </c>
      <c r="I19" s="42">
        <v>45988</v>
      </c>
      <c r="J19" s="42">
        <v>45994</v>
      </c>
      <c r="K19">
        <v>6</v>
      </c>
      <c r="L19">
        <v>1</v>
      </c>
      <c r="M19">
        <v>438</v>
      </c>
      <c r="N19" s="43">
        <v>2628</v>
      </c>
      <c r="P19" t="s">
        <v>779</v>
      </c>
    </row>
    <row r="20" s="15" customFormat="1" spans="1:16">
      <c r="A20" s="44">
        <v>16</v>
      </c>
      <c r="B20" s="44" t="s">
        <v>340</v>
      </c>
      <c r="C20" s="44" t="s">
        <v>768</v>
      </c>
      <c r="D20" s="15">
        <v>13051706665</v>
      </c>
      <c r="E20" s="45" t="s">
        <v>780</v>
      </c>
      <c r="F20" s="15" t="s">
        <v>781</v>
      </c>
      <c r="G20" s="15" t="s">
        <v>10</v>
      </c>
      <c r="H20" s="15" t="s">
        <v>229</v>
      </c>
      <c r="I20" s="46">
        <v>45989</v>
      </c>
      <c r="J20" s="46">
        <v>45993</v>
      </c>
      <c r="K20" s="15">
        <v>4</v>
      </c>
      <c r="L20" s="15">
        <v>1</v>
      </c>
      <c r="M20" s="15">
        <v>470</v>
      </c>
      <c r="N20" s="47">
        <v>1880</v>
      </c>
      <c r="O20" s="15" t="s">
        <v>782</v>
      </c>
      <c r="P20" s="15" t="s">
        <v>783</v>
      </c>
    </row>
    <row r="21" spans="1:16">
      <c r="A21" s="1">
        <v>17</v>
      </c>
      <c r="B21" s="1" t="s">
        <v>778</v>
      </c>
      <c r="C21" s="1" t="s">
        <v>778</v>
      </c>
      <c r="D21">
        <v>18810153826</v>
      </c>
      <c r="E21" s="41" t="s">
        <v>557</v>
      </c>
      <c r="F21" t="s">
        <v>784</v>
      </c>
      <c r="G21" t="s">
        <v>53</v>
      </c>
      <c r="H21" t="s">
        <v>229</v>
      </c>
      <c r="I21" s="42">
        <v>45991</v>
      </c>
      <c r="J21" s="42">
        <v>45994</v>
      </c>
      <c r="K21">
        <v>3</v>
      </c>
      <c r="L21">
        <v>1</v>
      </c>
      <c r="M21">
        <v>438</v>
      </c>
      <c r="N21" s="43">
        <v>1314</v>
      </c>
    </row>
    <row r="22" ht="43.4" customHeight="1" spans="1:16">
      <c r="A22" s="23"/>
      <c r="B22" s="23"/>
      <c r="C22" s="23" t="s">
        <v>785</v>
      </c>
      <c r="D22" s="23">
        <v>13853128391</v>
      </c>
      <c r="E22" s="23" t="s">
        <v>786</v>
      </c>
      <c r="F22" s="23" t="s">
        <v>787</v>
      </c>
      <c r="G22" s="23" t="s">
        <v>10</v>
      </c>
      <c r="H22" s="23" t="s">
        <v>229</v>
      </c>
      <c r="I22" s="29">
        <v>45989</v>
      </c>
      <c r="J22" s="24">
        <v>45992</v>
      </c>
      <c r="K22" s="23">
        <v>3</v>
      </c>
      <c r="L22" s="23">
        <v>1</v>
      </c>
      <c r="M22" s="25">
        <v>470</v>
      </c>
      <c r="N22" s="25">
        <v>1410</v>
      </c>
      <c r="O22" s="23"/>
      <c r="P22" s="23" t="s">
        <v>771</v>
      </c>
    </row>
    <row r="23" ht="27" spans="1:16">
      <c r="A23" s="48"/>
      <c r="B23" s="48"/>
      <c r="C23" s="48" t="s">
        <v>768</v>
      </c>
      <c r="D23" s="48">
        <v>13051706665</v>
      </c>
      <c r="E23" s="49" t="s">
        <v>788</v>
      </c>
      <c r="F23" s="48" t="s">
        <v>789</v>
      </c>
      <c r="G23" s="48" t="s">
        <v>10</v>
      </c>
      <c r="H23" s="48" t="s">
        <v>229</v>
      </c>
      <c r="I23" s="50">
        <v>45989</v>
      </c>
      <c r="J23" s="51">
        <v>45993</v>
      </c>
      <c r="K23" s="48">
        <v>4</v>
      </c>
      <c r="L23" s="48">
        <v>1</v>
      </c>
      <c r="M23" s="52">
        <v>470</v>
      </c>
      <c r="N23" s="52">
        <v>1880</v>
      </c>
      <c r="O23" s="53" t="s">
        <v>790</v>
      </c>
      <c r="P23" s="23" t="s">
        <v>791</v>
      </c>
    </row>
    <row r="24" spans="1:16">
      <c r="A24" s="23"/>
      <c r="B24" s="23"/>
      <c r="C24" s="23" t="s">
        <v>756</v>
      </c>
      <c r="D24" s="23">
        <v>17768103485</v>
      </c>
      <c r="E24" s="26" t="s">
        <v>558</v>
      </c>
      <c r="F24" s="23" t="s">
        <v>792</v>
      </c>
      <c r="G24" s="23" t="s">
        <v>9</v>
      </c>
      <c r="H24" s="23" t="s">
        <v>229</v>
      </c>
      <c r="I24" s="29">
        <v>45989</v>
      </c>
      <c r="J24" s="24">
        <v>45993</v>
      </c>
      <c r="K24" s="23">
        <v>4</v>
      </c>
      <c r="L24" s="23">
        <v>1</v>
      </c>
      <c r="M24" s="25">
        <v>438</v>
      </c>
      <c r="N24" s="25">
        <v>1752</v>
      </c>
      <c r="O24" s="23"/>
      <c r="P24" s="23" t="s">
        <v>791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P24" etc:filterBottomFollowUsedRange="0">
    <extLst/>
  </autoFilter>
  <mergeCells count="10">
    <mergeCell ref="A1:P1"/>
    <mergeCell ref="A16:A17"/>
    <mergeCell ref="B16:B17"/>
    <mergeCell ref="C16:C17"/>
    <mergeCell ref="D16:D17"/>
    <mergeCell ref="E16:E17"/>
    <mergeCell ref="F16:F17"/>
    <mergeCell ref="G16:G17"/>
    <mergeCell ref="O16:O17"/>
    <mergeCell ref="P16:P17"/>
  </mergeCells>
  <pageMargins left="0.7" right="0.7" top="0.75" bottom="0.75" header="0.3" footer="0.3"/>
  <pageSetup paperSize="9" scale="56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opLeftCell="F11" workbookViewId="0">
      <selection activeCell="F11" sqref="F11"/>
    </sheetView>
  </sheetViews>
  <sheetFormatPr defaultColWidth="9" defaultRowHeight="13.5"/>
  <cols>
    <col min="1" max="1" width="9.375" style="1"/>
    <col min="3" max="3" width="21.25" style="1" customWidth="1"/>
    <col min="4" max="4" width="36.5" customWidth="1"/>
    <col min="5" max="5" width="34.875" customWidth="1"/>
    <col min="6" max="6" width="57.8166666666667" customWidth="1"/>
    <col min="7" max="7" width="55.375" customWidth="1"/>
  </cols>
  <sheetData>
    <row r="1" spans="1:9">
      <c r="A1" s="2" t="s">
        <v>793</v>
      </c>
      <c r="B1" s="3" t="s">
        <v>198</v>
      </c>
      <c r="C1" s="2" t="s">
        <v>794</v>
      </c>
      <c r="D1" s="3" t="s">
        <v>795</v>
      </c>
      <c r="E1" s="3" t="s">
        <v>41</v>
      </c>
      <c r="F1" s="3" t="s">
        <v>796</v>
      </c>
      <c r="G1" s="3" t="s">
        <v>46</v>
      </c>
      <c r="H1" s="3" t="s">
        <v>46</v>
      </c>
    </row>
    <row r="2" spans="1:9">
      <c r="A2" s="1">
        <v>20695273</v>
      </c>
      <c r="B2" t="s">
        <v>797</v>
      </c>
      <c r="C2" s="2">
        <v>13039330050</v>
      </c>
      <c r="D2" s="4" t="s">
        <v>11</v>
      </c>
      <c r="E2" t="s">
        <v>798</v>
      </c>
      <c r="G2" t="s">
        <v>799</v>
      </c>
    </row>
    <row r="3" spans="1:9">
      <c r="A3" s="1">
        <v>4138</v>
      </c>
      <c r="B3" t="s">
        <v>800</v>
      </c>
      <c r="C3" s="1">
        <v>18548911918</v>
      </c>
      <c r="D3" s="5" t="s">
        <v>801</v>
      </c>
      <c r="E3" t="s">
        <v>229</v>
      </c>
      <c r="G3" s="3" t="s">
        <v>802</v>
      </c>
    </row>
    <row r="4" spans="1:9">
      <c r="A4" s="1">
        <v>778</v>
      </c>
      <c r="B4" s="6" t="s">
        <v>803</v>
      </c>
      <c r="C4" s="7">
        <v>15210592958</v>
      </c>
      <c r="D4" s="3" t="s">
        <v>10</v>
      </c>
      <c r="E4" t="s">
        <v>804</v>
      </c>
      <c r="G4" s="3" t="s">
        <v>805</v>
      </c>
      <c r="H4" s="3" t="s">
        <v>806</v>
      </c>
    </row>
    <row r="5" spans="1:9">
      <c r="A5" s="1">
        <v>4734</v>
      </c>
      <c r="B5" s="3" t="s">
        <v>807</v>
      </c>
      <c r="C5" s="7">
        <v>15210592958</v>
      </c>
      <c r="D5" t="s">
        <v>808</v>
      </c>
      <c r="E5" s="3" t="s">
        <v>153</v>
      </c>
      <c r="F5" s="3"/>
      <c r="G5" s="3" t="s">
        <v>809</v>
      </c>
      <c r="H5" t="s">
        <v>810</v>
      </c>
    </row>
    <row r="6" spans="1:9">
      <c r="A6" s="1">
        <v>2616</v>
      </c>
      <c r="B6" s="3" t="s">
        <v>811</v>
      </c>
      <c r="C6" s="1">
        <v>15373575957</v>
      </c>
      <c r="D6" s="3" t="s">
        <v>812</v>
      </c>
      <c r="E6" t="s">
        <v>445</v>
      </c>
      <c r="G6" s="3" t="s">
        <v>813</v>
      </c>
      <c r="H6" t="s">
        <v>810</v>
      </c>
    </row>
    <row r="7" spans="1:9">
      <c r="B7" s="3" t="s">
        <v>814</v>
      </c>
      <c r="C7" s="1">
        <v>18099242227</v>
      </c>
      <c r="D7" s="3" t="s">
        <v>815</v>
      </c>
      <c r="E7" s="3" t="s">
        <v>816</v>
      </c>
      <c r="F7" s="3" t="s">
        <v>817</v>
      </c>
      <c r="G7" t="s">
        <v>818</v>
      </c>
    </row>
    <row r="8" spans="1:9">
      <c r="B8" s="8" t="s">
        <v>819</v>
      </c>
      <c r="C8" s="1" t="s">
        <v>820</v>
      </c>
      <c r="D8" s="8" t="s">
        <v>17</v>
      </c>
      <c r="F8" s="3"/>
      <c r="G8" s="3" t="s">
        <v>809</v>
      </c>
      <c r="H8" t="s">
        <v>810</v>
      </c>
    </row>
    <row r="9" spans="1:9">
      <c r="B9" t="s">
        <v>821</v>
      </c>
      <c r="C9" s="1" t="s">
        <v>822</v>
      </c>
      <c r="D9" t="s">
        <v>10</v>
      </c>
      <c r="E9" s="5" t="s">
        <v>445</v>
      </c>
      <c r="F9" s="3" t="s">
        <v>817</v>
      </c>
      <c r="G9" s="3" t="s">
        <v>809</v>
      </c>
      <c r="H9" t="s">
        <v>810</v>
      </c>
    </row>
    <row r="10" ht="15" spans="1:9">
      <c r="A10" s="9" t="s">
        <v>823</v>
      </c>
      <c r="B10" s="10" t="s">
        <v>428</v>
      </c>
      <c r="C10" s="10" t="s">
        <v>824</v>
      </c>
      <c r="D10" s="10" t="s">
        <v>801</v>
      </c>
      <c r="E10" s="3" t="s">
        <v>825</v>
      </c>
      <c r="G10" s="3" t="s">
        <v>826</v>
      </c>
    </row>
    <row r="11" ht="180.75" customHeight="1" spans="1:9">
      <c r="B11" s="3" t="s">
        <v>827</v>
      </c>
      <c r="D11" s="3" t="s">
        <v>828</v>
      </c>
      <c r="E11" s="3" t="s">
        <v>829</v>
      </c>
      <c r="F11" s="3" t="s">
        <v>830</v>
      </c>
      <c r="G11" s="11" t="s">
        <v>831</v>
      </c>
    </row>
    <row r="12" ht="94.5" spans="1:9">
      <c r="B12" s="3" t="s">
        <v>832</v>
      </c>
      <c r="G12" s="11" t="s">
        <v>833</v>
      </c>
      <c r="H12" t="s">
        <v>806</v>
      </c>
    </row>
    <row r="13" ht="67.5" spans="1:9">
      <c r="G13" s="11" t="s">
        <v>834</v>
      </c>
      <c r="H13" t="s">
        <v>835</v>
      </c>
    </row>
    <row r="14" ht="148.5" spans="1:9">
      <c r="G14" s="11" t="s">
        <v>836</v>
      </c>
      <c r="H14" s="3" t="s">
        <v>835</v>
      </c>
    </row>
    <row r="15" ht="337.5" spans="1:9">
      <c r="G15" s="11" t="s">
        <v>837</v>
      </c>
      <c r="H15" s="3" t="s">
        <v>835</v>
      </c>
    </row>
    <row r="16" ht="257.75" spans="1:9">
      <c r="G16" t="str">
        <f>_xlfn.DISPIMG("ID_06507F065DEA4E858E4DC8F8E87C7C63",1)</f>
        <v>=DISPIMG("ID_06507F065DEA4E858E4DC8F8E87C7C63",1)</v>
      </c>
      <c r="H16" s="11" t="s">
        <v>838</v>
      </c>
      <c r="I16" t="s">
        <v>839</v>
      </c>
    </row>
    <row r="17" ht="121.5" spans="2:8">
      <c r="G17" s="11" t="s">
        <v>840</v>
      </c>
      <c r="H17" s="12" t="s">
        <v>841</v>
      </c>
    </row>
    <row r="18" ht="121.5" spans="2:8">
      <c r="G18" s="11" t="s">
        <v>842</v>
      </c>
      <c r="H18" t="s">
        <v>843</v>
      </c>
    </row>
    <row r="19" ht="324" spans="2:8">
      <c r="G19" s="11" t="s">
        <v>844</v>
      </c>
      <c r="H19" t="s">
        <v>843</v>
      </c>
    </row>
    <row r="20" ht="121.5" spans="2:8">
      <c r="G20" s="11" t="s">
        <v>845</v>
      </c>
      <c r="H20" s="13" t="s">
        <v>846</v>
      </c>
    </row>
    <row r="21" ht="148.5" spans="2:8">
      <c r="G21" s="11" t="s">
        <v>836</v>
      </c>
      <c r="H21" s="3" t="s">
        <v>835</v>
      </c>
    </row>
    <row r="22" ht="121.5" spans="2:8">
      <c r="G22" s="11" t="s">
        <v>845</v>
      </c>
      <c r="H22" s="13" t="s">
        <v>846</v>
      </c>
    </row>
    <row r="23" ht="283.5" spans="2:8">
      <c r="G23" s="11" t="s">
        <v>847</v>
      </c>
      <c r="H23" s="3" t="s">
        <v>806</v>
      </c>
    </row>
    <row r="24" ht="136.5" customHeight="1" spans="2:8">
      <c r="G24" s="11" t="s">
        <v>848</v>
      </c>
      <c r="H24" s="13" t="s">
        <v>846</v>
      </c>
    </row>
    <row r="25" ht="216" spans="2:8">
      <c r="G25" s="11" t="s">
        <v>849</v>
      </c>
      <c r="H25" t="s">
        <v>806</v>
      </c>
    </row>
    <row r="26" ht="165.05" spans="2:8">
      <c r="B26" s="3" t="s">
        <v>850</v>
      </c>
      <c r="C26" s="1">
        <v>18810276437</v>
      </c>
      <c r="F26" s="14" t="s">
        <v>851</v>
      </c>
      <c r="G26" t="str">
        <f>_xlfn.DISPIMG("ID_1D1D1CFD776343ACAA1454DE8116F2F3",1)</f>
        <v>=DISPIMG("ID_1D1D1CFD776343ACAA1454DE8116F2F3",1)</v>
      </c>
      <c r="H26" s="14" t="s">
        <v>835</v>
      </c>
    </row>
    <row r="27" ht="79.8" spans="2:8">
      <c r="B27" s="3" t="s">
        <v>852</v>
      </c>
      <c r="D27" s="3" t="s">
        <v>11</v>
      </c>
      <c r="F27" s="3" t="s">
        <v>853</v>
      </c>
      <c r="G27" t="str">
        <f>_xlfn.DISPIMG("ID_8318A49599604442A361CFF80441F9A9",1)</f>
        <v>=DISPIMG("ID_8318A49599604442A361CFF80441F9A9",1)</v>
      </c>
    </row>
    <row r="28" ht="299.3" spans="2:8">
      <c r="B28" t="s">
        <v>679</v>
      </c>
      <c r="D28" s="3" t="s">
        <v>53</v>
      </c>
      <c r="F28" s="11" t="s">
        <v>854</v>
      </c>
      <c r="G28" t="str">
        <f>_xlfn.DISPIMG("ID_D27DDDC814D54421A08C71255BB15535",1)</f>
        <v>=DISPIMG("ID_D27DDDC814D54421A08C71255BB15535",1)</v>
      </c>
    </row>
    <row r="29" ht="94.5" spans="2:8">
      <c r="G29" s="11" t="s">
        <v>855</v>
      </c>
      <c r="H29" s="3" t="s">
        <v>856</v>
      </c>
    </row>
    <row r="30" ht="54" spans="2:8">
      <c r="G30" s="11" t="s">
        <v>857</v>
      </c>
      <c r="H30" s="3" t="s">
        <v>856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��_l��[�RN��	VNSR��^j�NSWY?bL�?eWY?b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环化大会26间酒店名单</vt:lpstr>
      <vt:lpstr>贵宾酒店</vt:lpstr>
      <vt:lpstr>第一批上线</vt:lpstr>
      <vt:lpstr>第二批上线</vt:lpstr>
      <vt:lpstr>组委会预留名单</vt:lpstr>
      <vt:lpstr>外籍专家预留</vt:lpstr>
      <vt:lpstr>特殊事项备注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之修</cp:lastModifiedBy>
  <dcterms:created xsi:type="dcterms:W3CDTF">2025-09-15T02:24:00Z</dcterms:created>
  <dcterms:modified xsi:type="dcterms:W3CDTF">2025-11-22T11:37:08Z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F204CEBBB0374233963503523EE3A98C_13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